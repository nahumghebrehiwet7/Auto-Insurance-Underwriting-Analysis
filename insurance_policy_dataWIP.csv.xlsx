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m\Videos\"/>
    </mc:Choice>
  </mc:AlternateContent>
  <xr:revisionPtr revIDLastSave="0" documentId="13_ncr:1_{F85C53CC-2BEF-4153-831D-F939DEB6AE8F}" xr6:coauthVersionLast="47" xr6:coauthVersionMax="47" xr10:uidLastSave="{00000000-0000-0000-0000-000000000000}"/>
  <bookViews>
    <workbookView xWindow="-108" yWindow="-108" windowWidth="23256" windowHeight="12456" xr2:uid="{19546BA7-40D5-4219-A677-DC3E582B3EDE}"/>
  </bookViews>
  <sheets>
    <sheet name="insurance_policy_data" sheetId="1" r:id="rId1"/>
    <sheet name="Data Distribution" sheetId="3" r:id="rId2"/>
    <sheet name="Sheet1" sheetId="7" r:id="rId3"/>
    <sheet name="Sheet2" sheetId="8" r:id="rId4"/>
    <sheet name="Risk" sheetId="6" r:id="rId5"/>
    <sheet name="Vehicle Info" sheetId="5" r:id="rId6"/>
    <sheet name="Applicant Demographic" sheetId="4" r:id="rId7"/>
  </sheets>
  <definedNames>
    <definedName name="_xlnm._FilterDatabase" localSheetId="0" hidden="1">insurance_policy_data!$A$1:$Q$319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7" l="1"/>
  <c r="C74" i="7"/>
  <c r="D74" i="7"/>
  <c r="E74" i="7"/>
  <c r="F74" i="7"/>
  <c r="G74" i="7"/>
  <c r="H74" i="7"/>
  <c r="B247" i="7"/>
  <c r="C247" i="7"/>
  <c r="D247" i="7"/>
  <c r="E247" i="7"/>
  <c r="F247" i="7"/>
  <c r="G247" i="7"/>
  <c r="H247" i="7"/>
  <c r="B131" i="7"/>
  <c r="C131" i="7"/>
  <c r="I131" i="7" s="1"/>
  <c r="D131" i="7"/>
  <c r="E131" i="7"/>
  <c r="F131" i="7"/>
  <c r="G131" i="7"/>
  <c r="H131" i="7"/>
  <c r="B133" i="7"/>
  <c r="C133" i="7"/>
  <c r="D133" i="7"/>
  <c r="E133" i="7"/>
  <c r="F133" i="7"/>
  <c r="G133" i="7"/>
  <c r="H133" i="7"/>
  <c r="B159" i="7"/>
  <c r="C159" i="7"/>
  <c r="D159" i="7"/>
  <c r="E159" i="7"/>
  <c r="F159" i="7"/>
  <c r="G159" i="7"/>
  <c r="H159" i="7"/>
  <c r="B25" i="7"/>
  <c r="C25" i="7"/>
  <c r="D25" i="7"/>
  <c r="E25" i="7"/>
  <c r="F25" i="7"/>
  <c r="G25" i="7"/>
  <c r="H25" i="7"/>
  <c r="B109" i="7"/>
  <c r="C109" i="7"/>
  <c r="D109" i="7"/>
  <c r="E109" i="7"/>
  <c r="F109" i="7"/>
  <c r="G109" i="7"/>
  <c r="H109" i="7"/>
  <c r="B18" i="7"/>
  <c r="C18" i="7"/>
  <c r="D18" i="7"/>
  <c r="E18" i="7"/>
  <c r="F18" i="7"/>
  <c r="G18" i="7"/>
  <c r="H18" i="7"/>
  <c r="B211" i="7"/>
  <c r="C211" i="7"/>
  <c r="D211" i="7"/>
  <c r="E211" i="7"/>
  <c r="F211" i="7"/>
  <c r="G211" i="7"/>
  <c r="H211" i="7"/>
  <c r="B7" i="7"/>
  <c r="C7" i="7"/>
  <c r="D7" i="7"/>
  <c r="E7" i="7"/>
  <c r="F7" i="7"/>
  <c r="G7" i="7"/>
  <c r="H7" i="7"/>
  <c r="B101" i="7"/>
  <c r="C101" i="7"/>
  <c r="I101" i="7" s="1"/>
  <c r="D101" i="7"/>
  <c r="E101" i="7"/>
  <c r="F101" i="7"/>
  <c r="G101" i="7"/>
  <c r="H101" i="7"/>
  <c r="B187" i="7"/>
  <c r="C187" i="7"/>
  <c r="D187" i="7"/>
  <c r="E187" i="7"/>
  <c r="F187" i="7"/>
  <c r="G187" i="7"/>
  <c r="H187" i="7"/>
  <c r="B75" i="7"/>
  <c r="C75" i="7"/>
  <c r="D75" i="7"/>
  <c r="E75" i="7"/>
  <c r="F75" i="7"/>
  <c r="G75" i="7"/>
  <c r="H75" i="7"/>
  <c r="B185" i="7"/>
  <c r="C185" i="7"/>
  <c r="D185" i="7"/>
  <c r="E185" i="7"/>
  <c r="F185" i="7"/>
  <c r="G185" i="7"/>
  <c r="H185" i="7"/>
  <c r="B197" i="7"/>
  <c r="C197" i="7"/>
  <c r="D197" i="7"/>
  <c r="E197" i="7"/>
  <c r="F197" i="7"/>
  <c r="G197" i="7"/>
  <c r="H197" i="7"/>
  <c r="B30" i="7"/>
  <c r="C30" i="7"/>
  <c r="D30" i="7"/>
  <c r="E30" i="7"/>
  <c r="F30" i="7"/>
  <c r="G30" i="7"/>
  <c r="H30" i="7"/>
  <c r="B249" i="7"/>
  <c r="C249" i="7"/>
  <c r="D249" i="7"/>
  <c r="E249" i="7"/>
  <c r="F249" i="7"/>
  <c r="G249" i="7"/>
  <c r="H249" i="7"/>
  <c r="B303" i="7"/>
  <c r="C303" i="7"/>
  <c r="D303" i="7"/>
  <c r="E303" i="7"/>
  <c r="F303" i="7"/>
  <c r="G303" i="7"/>
  <c r="H303" i="7"/>
  <c r="B104" i="7"/>
  <c r="C104" i="7"/>
  <c r="I104" i="7" s="1"/>
  <c r="D104" i="7"/>
  <c r="E104" i="7"/>
  <c r="F104" i="7"/>
  <c r="G104" i="7"/>
  <c r="H104" i="7"/>
  <c r="B102" i="7"/>
  <c r="C102" i="7"/>
  <c r="D102" i="7"/>
  <c r="E102" i="7"/>
  <c r="F102" i="7"/>
  <c r="G102" i="7"/>
  <c r="H102" i="7"/>
  <c r="B235" i="7"/>
  <c r="C235" i="7"/>
  <c r="D235" i="7"/>
  <c r="E235" i="7"/>
  <c r="F235" i="7"/>
  <c r="G235" i="7"/>
  <c r="H235" i="7"/>
  <c r="B88" i="7"/>
  <c r="C88" i="7"/>
  <c r="D88" i="7"/>
  <c r="E88" i="7"/>
  <c r="F88" i="7"/>
  <c r="G88" i="7"/>
  <c r="H88" i="7"/>
  <c r="B65" i="7"/>
  <c r="C65" i="7"/>
  <c r="D65" i="7"/>
  <c r="E65" i="7"/>
  <c r="F65" i="7"/>
  <c r="G65" i="7"/>
  <c r="H65" i="7"/>
  <c r="B24" i="7"/>
  <c r="C24" i="7"/>
  <c r="D24" i="7"/>
  <c r="E24" i="7"/>
  <c r="F24" i="7"/>
  <c r="G24" i="7"/>
  <c r="H24" i="7"/>
  <c r="B280" i="7"/>
  <c r="C280" i="7"/>
  <c r="D280" i="7"/>
  <c r="E280" i="7"/>
  <c r="F280" i="7"/>
  <c r="G280" i="7"/>
  <c r="H280" i="7"/>
  <c r="B98" i="7"/>
  <c r="C98" i="7"/>
  <c r="D98" i="7"/>
  <c r="E98" i="7"/>
  <c r="F98" i="7"/>
  <c r="G98" i="7"/>
  <c r="H98" i="7"/>
  <c r="B143" i="7"/>
  <c r="C143" i="7"/>
  <c r="I143" i="7" s="1"/>
  <c r="D143" i="7"/>
  <c r="E143" i="7"/>
  <c r="F143" i="7"/>
  <c r="G143" i="7"/>
  <c r="H143" i="7"/>
  <c r="B34" i="7"/>
  <c r="C34" i="7"/>
  <c r="D34" i="7"/>
  <c r="E34" i="7"/>
  <c r="F34" i="7"/>
  <c r="G34" i="7"/>
  <c r="H34" i="7"/>
  <c r="B294" i="7"/>
  <c r="C294" i="7"/>
  <c r="D294" i="7"/>
  <c r="E294" i="7"/>
  <c r="F294" i="7"/>
  <c r="G294" i="7"/>
  <c r="H294" i="7"/>
  <c r="B253" i="7"/>
  <c r="C253" i="7"/>
  <c r="D253" i="7"/>
  <c r="E253" i="7"/>
  <c r="F253" i="7"/>
  <c r="G253" i="7"/>
  <c r="H253" i="7"/>
  <c r="B86" i="7"/>
  <c r="C86" i="7"/>
  <c r="D86" i="7"/>
  <c r="E86" i="7"/>
  <c r="F86" i="7"/>
  <c r="G86" i="7"/>
  <c r="H86" i="7"/>
  <c r="B105" i="7"/>
  <c r="C105" i="7"/>
  <c r="D105" i="7"/>
  <c r="E105" i="7"/>
  <c r="F105" i="7"/>
  <c r="G105" i="7"/>
  <c r="H105" i="7"/>
  <c r="B67" i="7"/>
  <c r="C67" i="7"/>
  <c r="D67" i="7"/>
  <c r="E67" i="7"/>
  <c r="F67" i="7"/>
  <c r="G67" i="7"/>
  <c r="H67" i="7"/>
  <c r="B126" i="7"/>
  <c r="C126" i="7"/>
  <c r="D126" i="7"/>
  <c r="E126" i="7"/>
  <c r="F126" i="7"/>
  <c r="G126" i="7"/>
  <c r="H126" i="7"/>
  <c r="B217" i="7"/>
  <c r="C217" i="7"/>
  <c r="I217" i="7" s="1"/>
  <c r="D217" i="7"/>
  <c r="E217" i="7"/>
  <c r="F217" i="7"/>
  <c r="G217" i="7"/>
  <c r="H217" i="7"/>
  <c r="B122" i="7"/>
  <c r="C122" i="7"/>
  <c r="D122" i="7"/>
  <c r="E122" i="7"/>
  <c r="F122" i="7"/>
  <c r="G122" i="7"/>
  <c r="H122" i="7"/>
  <c r="B14" i="7"/>
  <c r="C14" i="7"/>
  <c r="D14" i="7"/>
  <c r="E14" i="7"/>
  <c r="F14" i="7"/>
  <c r="G14" i="7"/>
  <c r="H14" i="7"/>
  <c r="B220" i="7"/>
  <c r="C220" i="7"/>
  <c r="D220" i="7"/>
  <c r="E220" i="7"/>
  <c r="F220" i="7"/>
  <c r="G220" i="7"/>
  <c r="H220" i="7"/>
  <c r="B277" i="7"/>
  <c r="C277" i="7"/>
  <c r="D277" i="7"/>
  <c r="E277" i="7"/>
  <c r="F277" i="7"/>
  <c r="G277" i="7"/>
  <c r="H277" i="7"/>
  <c r="B41" i="7"/>
  <c r="C41" i="7"/>
  <c r="D41" i="7"/>
  <c r="E41" i="7"/>
  <c r="F41" i="7"/>
  <c r="G41" i="7"/>
  <c r="H41" i="7"/>
  <c r="B112" i="7"/>
  <c r="C112" i="7"/>
  <c r="D112" i="7"/>
  <c r="E112" i="7"/>
  <c r="F112" i="7"/>
  <c r="G112" i="7"/>
  <c r="H112" i="7"/>
  <c r="B287" i="7"/>
  <c r="C287" i="7"/>
  <c r="D287" i="7"/>
  <c r="E287" i="7"/>
  <c r="F287" i="7"/>
  <c r="G287" i="7"/>
  <c r="H287" i="7"/>
  <c r="B4" i="7"/>
  <c r="C4" i="7"/>
  <c r="I4" i="7" s="1"/>
  <c r="D4" i="7"/>
  <c r="E4" i="7"/>
  <c r="F4" i="7"/>
  <c r="G4" i="7"/>
  <c r="H4" i="7"/>
  <c r="B190" i="7"/>
  <c r="C190" i="7"/>
  <c r="D190" i="7"/>
  <c r="E190" i="7"/>
  <c r="F190" i="7"/>
  <c r="G190" i="7"/>
  <c r="H190" i="7"/>
  <c r="B37" i="7"/>
  <c r="C37" i="7"/>
  <c r="D37" i="7"/>
  <c r="E37" i="7"/>
  <c r="F37" i="7"/>
  <c r="G37" i="7"/>
  <c r="H37" i="7"/>
  <c r="B248" i="7"/>
  <c r="C248" i="7"/>
  <c r="D248" i="7"/>
  <c r="E248" i="7"/>
  <c r="F248" i="7"/>
  <c r="G248" i="7"/>
  <c r="H248" i="7"/>
  <c r="B250" i="7"/>
  <c r="C250" i="7"/>
  <c r="D250" i="7"/>
  <c r="E250" i="7"/>
  <c r="F250" i="7"/>
  <c r="G250" i="7"/>
  <c r="H250" i="7"/>
  <c r="B32" i="7"/>
  <c r="C32" i="7"/>
  <c r="D32" i="7"/>
  <c r="E32" i="7"/>
  <c r="F32" i="7"/>
  <c r="G32" i="7"/>
  <c r="H32" i="7"/>
  <c r="B68" i="7"/>
  <c r="C68" i="7"/>
  <c r="D68" i="7"/>
  <c r="E68" i="7"/>
  <c r="F68" i="7"/>
  <c r="G68" i="7"/>
  <c r="H68" i="7"/>
  <c r="B46" i="7"/>
  <c r="C46" i="7"/>
  <c r="D46" i="7"/>
  <c r="E46" i="7"/>
  <c r="F46" i="7"/>
  <c r="G46" i="7"/>
  <c r="H46" i="7"/>
  <c r="B89" i="7"/>
  <c r="C89" i="7"/>
  <c r="I89" i="7" s="1"/>
  <c r="D89" i="7"/>
  <c r="E89" i="7"/>
  <c r="F89" i="7"/>
  <c r="G89" i="7"/>
  <c r="H89" i="7"/>
  <c r="B54" i="7"/>
  <c r="C54" i="7"/>
  <c r="D54" i="7"/>
  <c r="E54" i="7"/>
  <c r="F54" i="7"/>
  <c r="G54" i="7"/>
  <c r="H54" i="7"/>
  <c r="B282" i="7"/>
  <c r="C282" i="7"/>
  <c r="D282" i="7"/>
  <c r="E282" i="7"/>
  <c r="F282" i="7"/>
  <c r="G282" i="7"/>
  <c r="H282" i="7"/>
  <c r="B193" i="7"/>
  <c r="C193" i="7"/>
  <c r="D193" i="7"/>
  <c r="E193" i="7"/>
  <c r="F193" i="7"/>
  <c r="G193" i="7"/>
  <c r="H193" i="7"/>
  <c r="B82" i="7"/>
  <c r="C82" i="7"/>
  <c r="D82" i="7"/>
  <c r="E82" i="7"/>
  <c r="F82" i="7"/>
  <c r="G82" i="7"/>
  <c r="H82" i="7"/>
  <c r="B111" i="7"/>
  <c r="C111" i="7"/>
  <c r="D111" i="7"/>
  <c r="E111" i="7"/>
  <c r="F111" i="7"/>
  <c r="G111" i="7"/>
  <c r="H111" i="7"/>
  <c r="B48" i="7"/>
  <c r="C48" i="7"/>
  <c r="D48" i="7"/>
  <c r="E48" i="7"/>
  <c r="F48" i="7"/>
  <c r="G48" i="7"/>
  <c r="H48" i="7"/>
  <c r="B283" i="7"/>
  <c r="C283" i="7"/>
  <c r="D283" i="7"/>
  <c r="E283" i="7"/>
  <c r="F283" i="7"/>
  <c r="G283" i="7"/>
  <c r="H283" i="7"/>
  <c r="B83" i="7"/>
  <c r="C83" i="7"/>
  <c r="I83" i="7" s="1"/>
  <c r="D83" i="7"/>
  <c r="E83" i="7"/>
  <c r="F83" i="7"/>
  <c r="G83" i="7"/>
  <c r="H83" i="7"/>
  <c r="B177" i="7"/>
  <c r="C177" i="7"/>
  <c r="D177" i="7"/>
  <c r="E177" i="7"/>
  <c r="F177" i="7"/>
  <c r="G177" i="7"/>
  <c r="H177" i="7"/>
  <c r="B207" i="7"/>
  <c r="C207" i="7"/>
  <c r="D207" i="7"/>
  <c r="E207" i="7"/>
  <c r="F207" i="7"/>
  <c r="G207" i="7"/>
  <c r="H207" i="7"/>
  <c r="B297" i="7"/>
  <c r="C297" i="7"/>
  <c r="D297" i="7"/>
  <c r="E297" i="7"/>
  <c r="F297" i="7"/>
  <c r="G297" i="7"/>
  <c r="H297" i="7"/>
  <c r="B223" i="7"/>
  <c r="C223" i="7"/>
  <c r="D223" i="7"/>
  <c r="E223" i="7"/>
  <c r="F223" i="7"/>
  <c r="G223" i="7"/>
  <c r="H223" i="7"/>
  <c r="B142" i="7"/>
  <c r="C142" i="7"/>
  <c r="D142" i="7"/>
  <c r="E142" i="7"/>
  <c r="F142" i="7"/>
  <c r="G142" i="7"/>
  <c r="H142" i="7"/>
  <c r="B128" i="7"/>
  <c r="C128" i="7"/>
  <c r="D128" i="7"/>
  <c r="E128" i="7"/>
  <c r="F128" i="7"/>
  <c r="G128" i="7"/>
  <c r="H128" i="7"/>
  <c r="B28" i="7"/>
  <c r="C28" i="7"/>
  <c r="D28" i="7"/>
  <c r="E28" i="7"/>
  <c r="F28" i="7"/>
  <c r="G28" i="7"/>
  <c r="H28" i="7"/>
  <c r="B125" i="7"/>
  <c r="C125" i="7"/>
  <c r="I125" i="7" s="1"/>
  <c r="D125" i="7"/>
  <c r="E125" i="7"/>
  <c r="F125" i="7"/>
  <c r="G125" i="7"/>
  <c r="H125" i="7"/>
  <c r="B194" i="7"/>
  <c r="C194" i="7"/>
  <c r="D194" i="7"/>
  <c r="E194" i="7"/>
  <c r="F194" i="7"/>
  <c r="G194" i="7"/>
  <c r="H194" i="7"/>
  <c r="B310" i="7"/>
  <c r="C310" i="7"/>
  <c r="D310" i="7"/>
  <c r="E310" i="7"/>
  <c r="F310" i="7"/>
  <c r="G310" i="7"/>
  <c r="H310" i="7"/>
  <c r="B184" i="7"/>
  <c r="C184" i="7"/>
  <c r="D184" i="7"/>
  <c r="E184" i="7"/>
  <c r="F184" i="7"/>
  <c r="G184" i="7"/>
  <c r="H184" i="7"/>
  <c r="B117" i="7"/>
  <c r="C117" i="7"/>
  <c r="D117" i="7"/>
  <c r="E117" i="7"/>
  <c r="F117" i="7"/>
  <c r="G117" i="7"/>
  <c r="H117" i="7"/>
  <c r="B318" i="7"/>
  <c r="C318" i="7"/>
  <c r="D318" i="7"/>
  <c r="E318" i="7"/>
  <c r="F318" i="7"/>
  <c r="G318" i="7"/>
  <c r="H318" i="7"/>
  <c r="B137" i="7"/>
  <c r="C137" i="7"/>
  <c r="D137" i="7"/>
  <c r="E137" i="7"/>
  <c r="F137" i="7"/>
  <c r="G137" i="7"/>
  <c r="H137" i="7"/>
  <c r="B317" i="7"/>
  <c r="C317" i="7"/>
  <c r="D317" i="7"/>
  <c r="E317" i="7"/>
  <c r="F317" i="7"/>
  <c r="G317" i="7"/>
  <c r="H317" i="7"/>
  <c r="B100" i="7"/>
  <c r="C100" i="7"/>
  <c r="I100" i="7" s="1"/>
  <c r="D100" i="7"/>
  <c r="E100" i="7"/>
  <c r="F100" i="7"/>
  <c r="G100" i="7"/>
  <c r="H100" i="7"/>
  <c r="B273" i="7"/>
  <c r="C273" i="7"/>
  <c r="D273" i="7"/>
  <c r="E273" i="7"/>
  <c r="F273" i="7"/>
  <c r="G273" i="7"/>
  <c r="H273" i="7"/>
  <c r="B214" i="7"/>
  <c r="C214" i="7"/>
  <c r="D214" i="7"/>
  <c r="E214" i="7"/>
  <c r="F214" i="7"/>
  <c r="G214" i="7"/>
  <c r="H214" i="7"/>
  <c r="B176" i="7"/>
  <c r="C176" i="7"/>
  <c r="D176" i="7"/>
  <c r="E176" i="7"/>
  <c r="F176" i="7"/>
  <c r="G176" i="7"/>
  <c r="H176" i="7"/>
  <c r="B20" i="7"/>
  <c r="C20" i="7"/>
  <c r="D20" i="7"/>
  <c r="E20" i="7"/>
  <c r="F20" i="7"/>
  <c r="G20" i="7"/>
  <c r="H20" i="7"/>
  <c r="B175" i="7"/>
  <c r="C175" i="7"/>
  <c r="I175" i="7" s="1"/>
  <c r="D175" i="7"/>
  <c r="E175" i="7"/>
  <c r="F175" i="7"/>
  <c r="G175" i="7"/>
  <c r="H175" i="7"/>
  <c r="B35" i="7"/>
  <c r="C35" i="7"/>
  <c r="D35" i="7"/>
  <c r="E35" i="7"/>
  <c r="F35" i="7"/>
  <c r="G35" i="7"/>
  <c r="H35" i="7"/>
  <c r="B94" i="7"/>
  <c r="C94" i="7"/>
  <c r="D94" i="7"/>
  <c r="E94" i="7"/>
  <c r="F94" i="7"/>
  <c r="G94" i="7"/>
  <c r="H94" i="7"/>
  <c r="B227" i="7"/>
  <c r="I227" i="7" s="1"/>
  <c r="C227" i="7"/>
  <c r="D227" i="7"/>
  <c r="E227" i="7"/>
  <c r="F227" i="7"/>
  <c r="G227" i="7"/>
  <c r="H227" i="7"/>
  <c r="B264" i="7"/>
  <c r="C264" i="7"/>
  <c r="D264" i="7"/>
  <c r="E264" i="7"/>
  <c r="F264" i="7"/>
  <c r="G264" i="7"/>
  <c r="H264" i="7"/>
  <c r="B275" i="7"/>
  <c r="C275" i="7"/>
  <c r="I275" i="7" s="1"/>
  <c r="D275" i="7"/>
  <c r="E275" i="7"/>
  <c r="F275" i="7"/>
  <c r="G275" i="7"/>
  <c r="H275" i="7"/>
  <c r="B242" i="7"/>
  <c r="C242" i="7"/>
  <c r="D242" i="7"/>
  <c r="E242" i="7"/>
  <c r="F242" i="7"/>
  <c r="G242" i="7"/>
  <c r="H242" i="7"/>
  <c r="B244" i="7"/>
  <c r="C244" i="7"/>
  <c r="D244" i="7"/>
  <c r="E244" i="7"/>
  <c r="F244" i="7"/>
  <c r="G244" i="7"/>
  <c r="H244" i="7"/>
  <c r="B292" i="7"/>
  <c r="C292" i="7"/>
  <c r="D292" i="7"/>
  <c r="E292" i="7"/>
  <c r="F292" i="7"/>
  <c r="G292" i="7"/>
  <c r="H292" i="7"/>
  <c r="B274" i="7"/>
  <c r="C274" i="7"/>
  <c r="D274" i="7"/>
  <c r="E274" i="7"/>
  <c r="F274" i="7"/>
  <c r="G274" i="7"/>
  <c r="H274" i="7"/>
  <c r="B255" i="7"/>
  <c r="C255" i="7"/>
  <c r="D255" i="7"/>
  <c r="E255" i="7"/>
  <c r="F255" i="7"/>
  <c r="G255" i="7"/>
  <c r="H255" i="7"/>
  <c r="B19" i="7"/>
  <c r="C19" i="7"/>
  <c r="D19" i="7"/>
  <c r="E19" i="7"/>
  <c r="F19" i="7"/>
  <c r="G19" i="7"/>
  <c r="H19" i="7"/>
  <c r="B251" i="7"/>
  <c r="C251" i="7"/>
  <c r="D251" i="7"/>
  <c r="E251" i="7"/>
  <c r="F251" i="7"/>
  <c r="G251" i="7"/>
  <c r="H251" i="7"/>
  <c r="B171" i="7"/>
  <c r="C171" i="7"/>
  <c r="I171" i="7" s="1"/>
  <c r="D171" i="7"/>
  <c r="E171" i="7"/>
  <c r="F171" i="7"/>
  <c r="G171" i="7"/>
  <c r="H171" i="7"/>
  <c r="B95" i="7"/>
  <c r="C95" i="7"/>
  <c r="D95" i="7"/>
  <c r="E95" i="7"/>
  <c r="F95" i="7"/>
  <c r="G95" i="7"/>
  <c r="H95" i="7"/>
  <c r="B129" i="7"/>
  <c r="C129" i="7"/>
  <c r="D129" i="7"/>
  <c r="E129" i="7"/>
  <c r="F129" i="7"/>
  <c r="G129" i="7"/>
  <c r="H129" i="7"/>
  <c r="B205" i="7"/>
  <c r="C205" i="7"/>
  <c r="D205" i="7"/>
  <c r="E205" i="7"/>
  <c r="F205" i="7"/>
  <c r="G205" i="7"/>
  <c r="H205" i="7"/>
  <c r="B212" i="7"/>
  <c r="C212" i="7"/>
  <c r="D212" i="7"/>
  <c r="E212" i="7"/>
  <c r="F212" i="7"/>
  <c r="G212" i="7"/>
  <c r="H212" i="7"/>
  <c r="B42" i="7"/>
  <c r="C42" i="7"/>
  <c r="D42" i="7"/>
  <c r="E42" i="7"/>
  <c r="F42" i="7"/>
  <c r="G42" i="7"/>
  <c r="H42" i="7"/>
  <c r="B225" i="7"/>
  <c r="C225" i="7"/>
  <c r="D225" i="7"/>
  <c r="E225" i="7"/>
  <c r="F225" i="7"/>
  <c r="G225" i="7"/>
  <c r="H225" i="7"/>
  <c r="B230" i="7"/>
  <c r="C230" i="7"/>
  <c r="D230" i="7"/>
  <c r="E230" i="7"/>
  <c r="F230" i="7"/>
  <c r="G230" i="7"/>
  <c r="H230" i="7"/>
  <c r="B170" i="7"/>
  <c r="C170" i="7"/>
  <c r="I170" i="7" s="1"/>
  <c r="D170" i="7"/>
  <c r="E170" i="7"/>
  <c r="F170" i="7"/>
  <c r="G170" i="7"/>
  <c r="H170" i="7"/>
  <c r="B70" i="7"/>
  <c r="C70" i="7"/>
  <c r="D70" i="7"/>
  <c r="E70" i="7"/>
  <c r="F70" i="7"/>
  <c r="G70" i="7"/>
  <c r="H70" i="7"/>
  <c r="B15" i="7"/>
  <c r="C15" i="7"/>
  <c r="D15" i="7"/>
  <c r="E15" i="7"/>
  <c r="F15" i="7"/>
  <c r="G15" i="7"/>
  <c r="H15" i="7"/>
  <c r="B278" i="7"/>
  <c r="C278" i="7"/>
  <c r="D278" i="7"/>
  <c r="E278" i="7"/>
  <c r="F278" i="7"/>
  <c r="G278" i="7"/>
  <c r="H278" i="7"/>
  <c r="B53" i="7"/>
  <c r="C53" i="7"/>
  <c r="D53" i="7"/>
  <c r="E53" i="7"/>
  <c r="F53" i="7"/>
  <c r="G53" i="7"/>
  <c r="H53" i="7"/>
  <c r="B73" i="7"/>
  <c r="C73" i="7"/>
  <c r="D73" i="7"/>
  <c r="E73" i="7"/>
  <c r="F73" i="7"/>
  <c r="G73" i="7"/>
  <c r="H73" i="7"/>
  <c r="B285" i="7"/>
  <c r="C285" i="7"/>
  <c r="D285" i="7"/>
  <c r="E285" i="7"/>
  <c r="F285" i="7"/>
  <c r="G285" i="7"/>
  <c r="H285" i="7"/>
  <c r="B146" i="7"/>
  <c r="C146" i="7"/>
  <c r="D146" i="7"/>
  <c r="E146" i="7"/>
  <c r="F146" i="7"/>
  <c r="G146" i="7"/>
  <c r="H146" i="7"/>
  <c r="B69" i="7"/>
  <c r="C69" i="7"/>
  <c r="I69" i="7" s="1"/>
  <c r="D69" i="7"/>
  <c r="E69" i="7"/>
  <c r="F69" i="7"/>
  <c r="G69" i="7"/>
  <c r="H69" i="7"/>
  <c r="B151" i="7"/>
  <c r="C151" i="7"/>
  <c r="D151" i="7"/>
  <c r="E151" i="7"/>
  <c r="F151" i="7"/>
  <c r="G151" i="7"/>
  <c r="H151" i="7"/>
  <c r="B144" i="7"/>
  <c r="C144" i="7"/>
  <c r="D144" i="7"/>
  <c r="E144" i="7"/>
  <c r="F144" i="7"/>
  <c r="G144" i="7"/>
  <c r="H144" i="7"/>
  <c r="B62" i="7"/>
  <c r="C62" i="7"/>
  <c r="D62" i="7"/>
  <c r="E62" i="7"/>
  <c r="F62" i="7"/>
  <c r="G62" i="7"/>
  <c r="H62" i="7"/>
  <c r="B10" i="7"/>
  <c r="C10" i="7"/>
  <c r="D10" i="7"/>
  <c r="E10" i="7"/>
  <c r="F10" i="7"/>
  <c r="G10" i="7"/>
  <c r="H10" i="7"/>
  <c r="B180" i="7"/>
  <c r="C180" i="7"/>
  <c r="D180" i="7"/>
  <c r="E180" i="7"/>
  <c r="F180" i="7"/>
  <c r="G180" i="7"/>
  <c r="H180" i="7"/>
  <c r="B222" i="7"/>
  <c r="C222" i="7"/>
  <c r="D222" i="7"/>
  <c r="E222" i="7"/>
  <c r="F222" i="7"/>
  <c r="G222" i="7"/>
  <c r="H222" i="7"/>
  <c r="B188" i="7"/>
  <c r="C188" i="7"/>
  <c r="D188" i="7"/>
  <c r="E188" i="7"/>
  <c r="F188" i="7"/>
  <c r="G188" i="7"/>
  <c r="H188" i="7"/>
  <c r="B320" i="7"/>
  <c r="C320" i="7"/>
  <c r="I320" i="7" s="1"/>
  <c r="D320" i="7"/>
  <c r="E320" i="7"/>
  <c r="F320" i="7"/>
  <c r="G320" i="7"/>
  <c r="H320" i="7"/>
  <c r="B91" i="7"/>
  <c r="C91" i="7"/>
  <c r="D91" i="7"/>
  <c r="E91" i="7"/>
  <c r="F91" i="7"/>
  <c r="G91" i="7"/>
  <c r="H91" i="7"/>
  <c r="B306" i="7"/>
  <c r="C306" i="7"/>
  <c r="D306" i="7"/>
  <c r="E306" i="7"/>
  <c r="F306" i="7"/>
  <c r="G306" i="7"/>
  <c r="H306" i="7"/>
  <c r="B55" i="7"/>
  <c r="C55" i="7"/>
  <c r="D55" i="7"/>
  <c r="E55" i="7"/>
  <c r="F55" i="7"/>
  <c r="G55" i="7"/>
  <c r="H55" i="7"/>
  <c r="B319" i="7"/>
  <c r="C319" i="7"/>
  <c r="D319" i="7"/>
  <c r="E319" i="7"/>
  <c r="F319" i="7"/>
  <c r="G319" i="7"/>
  <c r="H319" i="7"/>
  <c r="B289" i="7"/>
  <c r="C289" i="7"/>
  <c r="D289" i="7"/>
  <c r="E289" i="7"/>
  <c r="F289" i="7"/>
  <c r="G289" i="7"/>
  <c r="H289" i="7"/>
  <c r="B311" i="7"/>
  <c r="C311" i="7"/>
  <c r="D311" i="7"/>
  <c r="E311" i="7"/>
  <c r="F311" i="7"/>
  <c r="G311" i="7"/>
  <c r="H311" i="7"/>
  <c r="B119" i="7"/>
  <c r="C119" i="7"/>
  <c r="D119" i="7"/>
  <c r="E119" i="7"/>
  <c r="F119" i="7"/>
  <c r="G119" i="7"/>
  <c r="H119" i="7"/>
  <c r="B265" i="7"/>
  <c r="C265" i="7"/>
  <c r="I265" i="7" s="1"/>
  <c r="D265" i="7"/>
  <c r="E265" i="7"/>
  <c r="F265" i="7"/>
  <c r="G265" i="7"/>
  <c r="H265" i="7"/>
  <c r="B72" i="7"/>
  <c r="C72" i="7"/>
  <c r="D72" i="7"/>
  <c r="E72" i="7"/>
  <c r="F72" i="7"/>
  <c r="G72" i="7"/>
  <c r="H72" i="7"/>
  <c r="B76" i="7"/>
  <c r="C76" i="7"/>
  <c r="D76" i="7"/>
  <c r="E76" i="7"/>
  <c r="F76" i="7"/>
  <c r="G76" i="7"/>
  <c r="H76" i="7"/>
  <c r="B156" i="7"/>
  <c r="C156" i="7"/>
  <c r="D156" i="7"/>
  <c r="E156" i="7"/>
  <c r="F156" i="7"/>
  <c r="G156" i="7"/>
  <c r="H156" i="7"/>
  <c r="B216" i="7"/>
  <c r="C216" i="7"/>
  <c r="D216" i="7"/>
  <c r="E216" i="7"/>
  <c r="F216" i="7"/>
  <c r="G216" i="7"/>
  <c r="H216" i="7"/>
  <c r="B309" i="7"/>
  <c r="C309" i="7"/>
  <c r="D309" i="7"/>
  <c r="E309" i="7"/>
  <c r="F309" i="7"/>
  <c r="G309" i="7"/>
  <c r="H309" i="7"/>
  <c r="B172" i="7"/>
  <c r="C172" i="7"/>
  <c r="D172" i="7"/>
  <c r="E172" i="7"/>
  <c r="F172" i="7"/>
  <c r="G172" i="7"/>
  <c r="H172" i="7"/>
  <c r="B51" i="7"/>
  <c r="C51" i="7"/>
  <c r="D51" i="7"/>
  <c r="E51" i="7"/>
  <c r="F51" i="7"/>
  <c r="G51" i="7"/>
  <c r="H51" i="7"/>
  <c r="B295" i="7"/>
  <c r="C295" i="7"/>
  <c r="I295" i="7" s="1"/>
  <c r="D295" i="7"/>
  <c r="E295" i="7"/>
  <c r="F295" i="7"/>
  <c r="G295" i="7"/>
  <c r="H295" i="7"/>
  <c r="B252" i="7"/>
  <c r="C252" i="7"/>
  <c r="D252" i="7"/>
  <c r="E252" i="7"/>
  <c r="F252" i="7"/>
  <c r="G252" i="7"/>
  <c r="H252" i="7"/>
  <c r="B209" i="7"/>
  <c r="C209" i="7"/>
  <c r="D209" i="7"/>
  <c r="E209" i="7"/>
  <c r="F209" i="7"/>
  <c r="G209" i="7"/>
  <c r="H209" i="7"/>
  <c r="B49" i="7"/>
  <c r="C49" i="7"/>
  <c r="D49" i="7"/>
  <c r="E49" i="7"/>
  <c r="F49" i="7"/>
  <c r="G49" i="7"/>
  <c r="H49" i="7"/>
  <c r="B50" i="7"/>
  <c r="C50" i="7"/>
  <c r="D50" i="7"/>
  <c r="E50" i="7"/>
  <c r="F50" i="7"/>
  <c r="G50" i="7"/>
  <c r="H50" i="7"/>
  <c r="B286" i="7"/>
  <c r="C286" i="7"/>
  <c r="D286" i="7"/>
  <c r="E286" i="7"/>
  <c r="F286" i="7"/>
  <c r="G286" i="7"/>
  <c r="H286" i="7"/>
  <c r="B179" i="7"/>
  <c r="C179" i="7"/>
  <c r="D179" i="7"/>
  <c r="E179" i="7"/>
  <c r="F179" i="7"/>
  <c r="G179" i="7"/>
  <c r="H179" i="7"/>
  <c r="B168" i="7"/>
  <c r="C168" i="7"/>
  <c r="D168" i="7"/>
  <c r="E168" i="7"/>
  <c r="F168" i="7"/>
  <c r="G168" i="7"/>
  <c r="H168" i="7"/>
  <c r="B202" i="7"/>
  <c r="C202" i="7"/>
  <c r="I202" i="7" s="1"/>
  <c r="D202" i="7"/>
  <c r="E202" i="7"/>
  <c r="F202" i="7"/>
  <c r="G202" i="7"/>
  <c r="H202" i="7"/>
  <c r="B239" i="7"/>
  <c r="C239" i="7"/>
  <c r="D239" i="7"/>
  <c r="E239" i="7"/>
  <c r="F239" i="7"/>
  <c r="G239" i="7"/>
  <c r="H239" i="7"/>
  <c r="B121" i="7"/>
  <c r="C121" i="7"/>
  <c r="D121" i="7"/>
  <c r="E121" i="7"/>
  <c r="F121" i="7"/>
  <c r="G121" i="7"/>
  <c r="H121" i="7"/>
  <c r="B305" i="7"/>
  <c r="C305" i="7"/>
  <c r="D305" i="7"/>
  <c r="E305" i="7"/>
  <c r="F305" i="7"/>
  <c r="G305" i="7"/>
  <c r="H305" i="7"/>
  <c r="B43" i="7"/>
  <c r="C43" i="7"/>
  <c r="D43" i="7"/>
  <c r="E43" i="7"/>
  <c r="F43" i="7"/>
  <c r="G43" i="7"/>
  <c r="H43" i="7"/>
  <c r="B63" i="7"/>
  <c r="C63" i="7"/>
  <c r="D63" i="7"/>
  <c r="E63" i="7"/>
  <c r="F63" i="7"/>
  <c r="G63" i="7"/>
  <c r="H63" i="7"/>
  <c r="B166" i="7"/>
  <c r="C166" i="7"/>
  <c r="D166" i="7"/>
  <c r="E166" i="7"/>
  <c r="F166" i="7"/>
  <c r="G166" i="7"/>
  <c r="H166" i="7"/>
  <c r="B115" i="7"/>
  <c r="C115" i="7"/>
  <c r="D115" i="7"/>
  <c r="E115" i="7"/>
  <c r="F115" i="7"/>
  <c r="G115" i="7"/>
  <c r="H115" i="7"/>
  <c r="B260" i="7"/>
  <c r="C260" i="7"/>
  <c r="I260" i="7" s="1"/>
  <c r="D260" i="7"/>
  <c r="E260" i="7"/>
  <c r="F260" i="7"/>
  <c r="G260" i="7"/>
  <c r="H260" i="7"/>
  <c r="B77" i="7"/>
  <c r="C77" i="7"/>
  <c r="D77" i="7"/>
  <c r="E77" i="7"/>
  <c r="F77" i="7"/>
  <c r="G77" i="7"/>
  <c r="H77" i="7"/>
  <c r="B81" i="7"/>
  <c r="C81" i="7"/>
  <c r="D81" i="7"/>
  <c r="E81" i="7"/>
  <c r="F81" i="7"/>
  <c r="G81" i="7"/>
  <c r="H81" i="7"/>
  <c r="B8" i="7"/>
  <c r="C8" i="7"/>
  <c r="D8" i="7"/>
  <c r="E8" i="7"/>
  <c r="F8" i="7"/>
  <c r="G8" i="7"/>
  <c r="H8" i="7"/>
  <c r="B219" i="7"/>
  <c r="C219" i="7"/>
  <c r="D219" i="7"/>
  <c r="E219" i="7"/>
  <c r="F219" i="7"/>
  <c r="G219" i="7"/>
  <c r="H219" i="7"/>
  <c r="B163" i="7"/>
  <c r="C163" i="7"/>
  <c r="D163" i="7"/>
  <c r="E163" i="7"/>
  <c r="F163" i="7"/>
  <c r="G163" i="7"/>
  <c r="H163" i="7"/>
  <c r="B123" i="7"/>
  <c r="C123" i="7"/>
  <c r="D123" i="7"/>
  <c r="E123" i="7"/>
  <c r="F123" i="7"/>
  <c r="G123" i="7"/>
  <c r="H123" i="7"/>
  <c r="B99" i="7"/>
  <c r="C99" i="7"/>
  <c r="D99" i="7"/>
  <c r="E99" i="7"/>
  <c r="F99" i="7"/>
  <c r="G99" i="7"/>
  <c r="H99" i="7"/>
  <c r="B64" i="7"/>
  <c r="C64" i="7"/>
  <c r="I64" i="7" s="1"/>
  <c r="D64" i="7"/>
  <c r="E64" i="7"/>
  <c r="F64" i="7"/>
  <c r="G64" i="7"/>
  <c r="H64" i="7"/>
  <c r="B85" i="7"/>
  <c r="C85" i="7"/>
  <c r="D85" i="7"/>
  <c r="E85" i="7"/>
  <c r="F85" i="7"/>
  <c r="G85" i="7"/>
  <c r="H85" i="7"/>
  <c r="B127" i="7"/>
  <c r="C127" i="7"/>
  <c r="D127" i="7"/>
  <c r="E127" i="7"/>
  <c r="F127" i="7"/>
  <c r="G127" i="7"/>
  <c r="H127" i="7"/>
  <c r="B300" i="7"/>
  <c r="C300" i="7"/>
  <c r="D300" i="7"/>
  <c r="E300" i="7"/>
  <c r="F300" i="7"/>
  <c r="G300" i="7"/>
  <c r="H300" i="7"/>
  <c r="B259" i="7"/>
  <c r="C259" i="7"/>
  <c r="D259" i="7"/>
  <c r="E259" i="7"/>
  <c r="F259" i="7"/>
  <c r="G259" i="7"/>
  <c r="H259" i="7"/>
  <c r="B279" i="7"/>
  <c r="C279" i="7"/>
  <c r="D279" i="7"/>
  <c r="E279" i="7"/>
  <c r="F279" i="7"/>
  <c r="G279" i="7"/>
  <c r="H279" i="7"/>
  <c r="B145" i="7"/>
  <c r="C145" i="7"/>
  <c r="D145" i="7"/>
  <c r="E145" i="7"/>
  <c r="F145" i="7"/>
  <c r="G145" i="7"/>
  <c r="H145" i="7"/>
  <c r="B270" i="7"/>
  <c r="I270" i="7" s="1"/>
  <c r="C270" i="7"/>
  <c r="D270" i="7"/>
  <c r="E270" i="7"/>
  <c r="F270" i="7"/>
  <c r="G270" i="7"/>
  <c r="H270" i="7"/>
  <c r="B296" i="7"/>
  <c r="I296" i="7" s="1"/>
  <c r="C296" i="7"/>
  <c r="D296" i="7"/>
  <c r="E296" i="7"/>
  <c r="F296" i="7"/>
  <c r="G296" i="7"/>
  <c r="H296" i="7"/>
  <c r="B26" i="7"/>
  <c r="I26" i="7" s="1"/>
  <c r="C26" i="7"/>
  <c r="D26" i="7"/>
  <c r="E26" i="7"/>
  <c r="F26" i="7"/>
  <c r="G26" i="7"/>
  <c r="H26" i="7"/>
  <c r="B27" i="7"/>
  <c r="C27" i="7"/>
  <c r="D27" i="7"/>
  <c r="E27" i="7"/>
  <c r="F27" i="7"/>
  <c r="G27" i="7"/>
  <c r="H27" i="7"/>
  <c r="B221" i="7"/>
  <c r="C221" i="7"/>
  <c r="I221" i="7" s="1"/>
  <c r="D221" i="7"/>
  <c r="E221" i="7"/>
  <c r="F221" i="7"/>
  <c r="G221" i="7"/>
  <c r="H221" i="7"/>
  <c r="B138" i="7"/>
  <c r="C138" i="7"/>
  <c r="D138" i="7"/>
  <c r="E138" i="7"/>
  <c r="F138" i="7"/>
  <c r="G138" i="7"/>
  <c r="H138" i="7"/>
  <c r="B167" i="7"/>
  <c r="C167" i="7"/>
  <c r="D167" i="7"/>
  <c r="E167" i="7"/>
  <c r="F167" i="7"/>
  <c r="G167" i="7"/>
  <c r="H167" i="7"/>
  <c r="B9" i="7"/>
  <c r="C9" i="7"/>
  <c r="D9" i="7"/>
  <c r="E9" i="7"/>
  <c r="F9" i="7"/>
  <c r="G9" i="7"/>
  <c r="H9" i="7"/>
  <c r="B160" i="7"/>
  <c r="C160" i="7"/>
  <c r="D160" i="7"/>
  <c r="E160" i="7"/>
  <c r="F160" i="7"/>
  <c r="G160" i="7"/>
  <c r="H160" i="7"/>
  <c r="B150" i="7"/>
  <c r="C150" i="7"/>
  <c r="D150" i="7"/>
  <c r="E150" i="7"/>
  <c r="F150" i="7"/>
  <c r="G150" i="7"/>
  <c r="H150" i="7"/>
  <c r="B96" i="7"/>
  <c r="C96" i="7"/>
  <c r="D96" i="7"/>
  <c r="E96" i="7"/>
  <c r="F96" i="7"/>
  <c r="G96" i="7"/>
  <c r="H96" i="7"/>
  <c r="B271" i="7"/>
  <c r="C271" i="7"/>
  <c r="D271" i="7"/>
  <c r="E271" i="7"/>
  <c r="F271" i="7"/>
  <c r="G271" i="7"/>
  <c r="H271" i="7"/>
  <c r="B52" i="7"/>
  <c r="C52" i="7"/>
  <c r="I52" i="7" s="1"/>
  <c r="D52" i="7"/>
  <c r="E52" i="7"/>
  <c r="F52" i="7"/>
  <c r="G52" i="7"/>
  <c r="H52" i="7"/>
  <c r="B228" i="7"/>
  <c r="C228" i="7"/>
  <c r="D228" i="7"/>
  <c r="E228" i="7"/>
  <c r="F228" i="7"/>
  <c r="G228" i="7"/>
  <c r="H228" i="7"/>
  <c r="B189" i="7"/>
  <c r="C189" i="7"/>
  <c r="D189" i="7"/>
  <c r="E189" i="7"/>
  <c r="F189" i="7"/>
  <c r="G189" i="7"/>
  <c r="H189" i="7"/>
  <c r="B224" i="7"/>
  <c r="C224" i="7"/>
  <c r="D224" i="7"/>
  <c r="E224" i="7"/>
  <c r="F224" i="7"/>
  <c r="G224" i="7"/>
  <c r="H224" i="7"/>
  <c r="B226" i="7"/>
  <c r="C226" i="7"/>
  <c r="D226" i="7"/>
  <c r="E226" i="7"/>
  <c r="F226" i="7"/>
  <c r="G226" i="7"/>
  <c r="H226" i="7"/>
  <c r="B288" i="7"/>
  <c r="C288" i="7"/>
  <c r="D288" i="7"/>
  <c r="E288" i="7"/>
  <c r="F288" i="7"/>
  <c r="G288" i="7"/>
  <c r="H288" i="7"/>
  <c r="B272" i="7"/>
  <c r="C272" i="7"/>
  <c r="D272" i="7"/>
  <c r="E272" i="7"/>
  <c r="F272" i="7"/>
  <c r="G272" i="7"/>
  <c r="H272" i="7"/>
  <c r="B313" i="7"/>
  <c r="C313" i="7"/>
  <c r="D313" i="7"/>
  <c r="E313" i="7"/>
  <c r="F313" i="7"/>
  <c r="G313" i="7"/>
  <c r="H313" i="7"/>
  <c r="B97" i="7"/>
  <c r="C97" i="7"/>
  <c r="I97" i="7" s="1"/>
  <c r="D97" i="7"/>
  <c r="E97" i="7"/>
  <c r="F97" i="7"/>
  <c r="G97" i="7"/>
  <c r="H97" i="7"/>
  <c r="B114" i="7"/>
  <c r="C114" i="7"/>
  <c r="D114" i="7"/>
  <c r="E114" i="7"/>
  <c r="F114" i="7"/>
  <c r="G114" i="7"/>
  <c r="H114" i="7"/>
  <c r="B182" i="7"/>
  <c r="C182" i="7"/>
  <c r="D182" i="7"/>
  <c r="E182" i="7"/>
  <c r="F182" i="7"/>
  <c r="G182" i="7"/>
  <c r="H182" i="7"/>
  <c r="B210" i="7"/>
  <c r="C210" i="7"/>
  <c r="D210" i="7"/>
  <c r="E210" i="7"/>
  <c r="F210" i="7"/>
  <c r="G210" i="7"/>
  <c r="H210" i="7"/>
  <c r="B243" i="7"/>
  <c r="C243" i="7"/>
  <c r="D243" i="7"/>
  <c r="E243" i="7"/>
  <c r="F243" i="7"/>
  <c r="G243" i="7"/>
  <c r="H243" i="7"/>
  <c r="B148" i="7"/>
  <c r="C148" i="7"/>
  <c r="D148" i="7"/>
  <c r="E148" i="7"/>
  <c r="F148" i="7"/>
  <c r="G148" i="7"/>
  <c r="H148" i="7"/>
  <c r="B155" i="7"/>
  <c r="C155" i="7"/>
  <c r="D155" i="7"/>
  <c r="E155" i="7"/>
  <c r="F155" i="7"/>
  <c r="G155" i="7"/>
  <c r="H155" i="7"/>
  <c r="B281" i="7"/>
  <c r="C281" i="7"/>
  <c r="D281" i="7"/>
  <c r="E281" i="7"/>
  <c r="F281" i="7"/>
  <c r="G281" i="7"/>
  <c r="H281" i="7"/>
  <c r="B29" i="7"/>
  <c r="C29" i="7"/>
  <c r="I29" i="7" s="1"/>
  <c r="D29" i="7"/>
  <c r="E29" i="7"/>
  <c r="F29" i="7"/>
  <c r="G29" i="7"/>
  <c r="H29" i="7"/>
  <c r="B61" i="7"/>
  <c r="C61" i="7"/>
  <c r="D61" i="7"/>
  <c r="E61" i="7"/>
  <c r="F61" i="7"/>
  <c r="G61" i="7"/>
  <c r="H61" i="7"/>
  <c r="B315" i="7"/>
  <c r="C315" i="7"/>
  <c r="D315" i="7"/>
  <c r="E315" i="7"/>
  <c r="F315" i="7"/>
  <c r="G315" i="7"/>
  <c r="H315" i="7"/>
  <c r="B183" i="7"/>
  <c r="C183" i="7"/>
  <c r="D183" i="7"/>
  <c r="E183" i="7"/>
  <c r="F183" i="7"/>
  <c r="G183" i="7"/>
  <c r="H183" i="7"/>
  <c r="B11" i="7"/>
  <c r="C11" i="7"/>
  <c r="D11" i="7"/>
  <c r="E11" i="7"/>
  <c r="F11" i="7"/>
  <c r="G11" i="7"/>
  <c r="H11" i="7"/>
  <c r="B191" i="7"/>
  <c r="C191" i="7"/>
  <c r="D191" i="7"/>
  <c r="E191" i="7"/>
  <c r="F191" i="7"/>
  <c r="G191" i="7"/>
  <c r="H191" i="7"/>
  <c r="B136" i="7"/>
  <c r="C136" i="7"/>
  <c r="D136" i="7"/>
  <c r="E136" i="7"/>
  <c r="F136" i="7"/>
  <c r="G136" i="7"/>
  <c r="H136" i="7"/>
  <c r="B90" i="7"/>
  <c r="C90" i="7"/>
  <c r="D90" i="7"/>
  <c r="E90" i="7"/>
  <c r="F90" i="7"/>
  <c r="G90" i="7"/>
  <c r="H90" i="7"/>
  <c r="B113" i="7"/>
  <c r="C113" i="7"/>
  <c r="I113" i="7" s="1"/>
  <c r="D113" i="7"/>
  <c r="E113" i="7"/>
  <c r="F113" i="7"/>
  <c r="G113" i="7"/>
  <c r="H113" i="7"/>
  <c r="B21" i="7"/>
  <c r="C21" i="7"/>
  <c r="D21" i="7"/>
  <c r="E21" i="7"/>
  <c r="F21" i="7"/>
  <c r="G21" i="7"/>
  <c r="H21" i="7"/>
  <c r="B22" i="7"/>
  <c r="C22" i="7"/>
  <c r="D22" i="7"/>
  <c r="E22" i="7"/>
  <c r="F22" i="7"/>
  <c r="G22" i="7"/>
  <c r="H22" i="7"/>
  <c r="B118" i="7"/>
  <c r="C118" i="7"/>
  <c r="D118" i="7"/>
  <c r="E118" i="7"/>
  <c r="F118" i="7"/>
  <c r="G118" i="7"/>
  <c r="H118" i="7"/>
  <c r="B12" i="7"/>
  <c r="C12" i="7"/>
  <c r="D12" i="7"/>
  <c r="E12" i="7"/>
  <c r="F12" i="7"/>
  <c r="G12" i="7"/>
  <c r="H12" i="7"/>
  <c r="B120" i="7"/>
  <c r="C120" i="7"/>
  <c r="D120" i="7"/>
  <c r="E120" i="7"/>
  <c r="F120" i="7"/>
  <c r="G120" i="7"/>
  <c r="H120" i="7"/>
  <c r="B304" i="7"/>
  <c r="C304" i="7"/>
  <c r="D304" i="7"/>
  <c r="E304" i="7"/>
  <c r="F304" i="7"/>
  <c r="G304" i="7"/>
  <c r="H304" i="7"/>
  <c r="B152" i="7"/>
  <c r="C152" i="7"/>
  <c r="D152" i="7"/>
  <c r="E152" i="7"/>
  <c r="F152" i="7"/>
  <c r="G152" i="7"/>
  <c r="H152" i="7"/>
  <c r="B162" i="7"/>
  <c r="C162" i="7"/>
  <c r="I162" i="7" s="1"/>
  <c r="D162" i="7"/>
  <c r="E162" i="7"/>
  <c r="F162" i="7"/>
  <c r="G162" i="7"/>
  <c r="H162" i="7"/>
  <c r="B240" i="7"/>
  <c r="C240" i="7"/>
  <c r="D240" i="7"/>
  <c r="E240" i="7"/>
  <c r="F240" i="7"/>
  <c r="G240" i="7"/>
  <c r="H240" i="7"/>
  <c r="B293" i="7"/>
  <c r="C293" i="7"/>
  <c r="D293" i="7"/>
  <c r="E293" i="7"/>
  <c r="F293" i="7"/>
  <c r="G293" i="7"/>
  <c r="H293" i="7"/>
  <c r="B192" i="7"/>
  <c r="C192" i="7"/>
  <c r="D192" i="7"/>
  <c r="E192" i="7"/>
  <c r="F192" i="7"/>
  <c r="G192" i="7"/>
  <c r="H192" i="7"/>
  <c r="B66" i="7"/>
  <c r="C66" i="7"/>
  <c r="D66" i="7"/>
  <c r="E66" i="7"/>
  <c r="F66" i="7"/>
  <c r="G66" i="7"/>
  <c r="H66" i="7"/>
  <c r="B314" i="7"/>
  <c r="C314" i="7"/>
  <c r="D314" i="7"/>
  <c r="E314" i="7"/>
  <c r="F314" i="7"/>
  <c r="G314" i="7"/>
  <c r="H314" i="7"/>
  <c r="B161" i="7"/>
  <c r="C161" i="7"/>
  <c r="D161" i="7"/>
  <c r="E161" i="7"/>
  <c r="F161" i="7"/>
  <c r="G161" i="7"/>
  <c r="H161" i="7"/>
  <c r="B261" i="7"/>
  <c r="C261" i="7"/>
  <c r="D261" i="7"/>
  <c r="E261" i="7"/>
  <c r="F261" i="7"/>
  <c r="G261" i="7"/>
  <c r="H261" i="7"/>
  <c r="B79" i="7"/>
  <c r="C79" i="7"/>
  <c r="I79" i="7" s="1"/>
  <c r="D79" i="7"/>
  <c r="E79" i="7"/>
  <c r="F79" i="7"/>
  <c r="G79" i="7"/>
  <c r="H79" i="7"/>
  <c r="B107" i="7"/>
  <c r="C107" i="7"/>
  <c r="D107" i="7"/>
  <c r="E107" i="7"/>
  <c r="F107" i="7"/>
  <c r="G107" i="7"/>
  <c r="H107" i="7"/>
  <c r="B206" i="7"/>
  <c r="C206" i="7"/>
  <c r="D206" i="7"/>
  <c r="E206" i="7"/>
  <c r="F206" i="7"/>
  <c r="G206" i="7"/>
  <c r="H206" i="7"/>
  <c r="B6" i="7"/>
  <c r="C6" i="7"/>
  <c r="D6" i="7"/>
  <c r="E6" i="7"/>
  <c r="F6" i="7"/>
  <c r="G6" i="7"/>
  <c r="H6" i="7"/>
  <c r="B174" i="7"/>
  <c r="C174" i="7"/>
  <c r="D174" i="7"/>
  <c r="E174" i="7"/>
  <c r="F174" i="7"/>
  <c r="G174" i="7"/>
  <c r="H174" i="7"/>
  <c r="B39" i="7"/>
  <c r="C39" i="7"/>
  <c r="D39" i="7"/>
  <c r="E39" i="7"/>
  <c r="F39" i="7"/>
  <c r="G39" i="7"/>
  <c r="H39" i="7"/>
  <c r="B269" i="7"/>
  <c r="C269" i="7"/>
  <c r="D269" i="7"/>
  <c r="E269" i="7"/>
  <c r="F269" i="7"/>
  <c r="G269" i="7"/>
  <c r="H269" i="7"/>
  <c r="B204" i="7"/>
  <c r="C204" i="7"/>
  <c r="D204" i="7"/>
  <c r="E204" i="7"/>
  <c r="F204" i="7"/>
  <c r="G204" i="7"/>
  <c r="H204" i="7"/>
  <c r="B140" i="7"/>
  <c r="C140" i="7"/>
  <c r="I140" i="7" s="1"/>
  <c r="D140" i="7"/>
  <c r="E140" i="7"/>
  <c r="F140" i="7"/>
  <c r="G140" i="7"/>
  <c r="H140" i="7"/>
  <c r="B87" i="7"/>
  <c r="C87" i="7"/>
  <c r="D87" i="7"/>
  <c r="E87" i="7"/>
  <c r="F87" i="7"/>
  <c r="G87" i="7"/>
  <c r="H87" i="7"/>
  <c r="B31" i="7"/>
  <c r="C31" i="7"/>
  <c r="D31" i="7"/>
  <c r="E31" i="7"/>
  <c r="F31" i="7"/>
  <c r="G31" i="7"/>
  <c r="H31" i="7"/>
  <c r="B198" i="7"/>
  <c r="C198" i="7"/>
  <c r="D198" i="7"/>
  <c r="E198" i="7"/>
  <c r="F198" i="7"/>
  <c r="G198" i="7"/>
  <c r="H198" i="7"/>
  <c r="B40" i="7"/>
  <c r="C40" i="7"/>
  <c r="D40" i="7"/>
  <c r="E40" i="7"/>
  <c r="F40" i="7"/>
  <c r="G40" i="7"/>
  <c r="H40" i="7"/>
  <c r="B256" i="7"/>
  <c r="C256" i="7"/>
  <c r="D256" i="7"/>
  <c r="E256" i="7"/>
  <c r="F256" i="7"/>
  <c r="G256" i="7"/>
  <c r="H256" i="7"/>
  <c r="B164" i="7"/>
  <c r="C164" i="7"/>
  <c r="D164" i="7"/>
  <c r="E164" i="7"/>
  <c r="F164" i="7"/>
  <c r="G164" i="7"/>
  <c r="H164" i="7"/>
  <c r="B59" i="7"/>
  <c r="C59" i="7"/>
  <c r="D59" i="7"/>
  <c r="E59" i="7"/>
  <c r="F59" i="7"/>
  <c r="G59" i="7"/>
  <c r="H59" i="7"/>
  <c r="B103" i="7"/>
  <c r="C103" i="7"/>
  <c r="I103" i="7" s="1"/>
  <c r="D103" i="7"/>
  <c r="E103" i="7"/>
  <c r="F103" i="7"/>
  <c r="G103" i="7"/>
  <c r="H103" i="7"/>
  <c r="B16" i="7"/>
  <c r="C16" i="7"/>
  <c r="D16" i="7"/>
  <c r="E16" i="7"/>
  <c r="F16" i="7"/>
  <c r="G16" i="7"/>
  <c r="H16" i="7"/>
  <c r="B71" i="7"/>
  <c r="C71" i="7"/>
  <c r="D71" i="7"/>
  <c r="E71" i="7"/>
  <c r="F71" i="7"/>
  <c r="G71" i="7"/>
  <c r="H71" i="7"/>
  <c r="B237" i="7"/>
  <c r="C237" i="7"/>
  <c r="D237" i="7"/>
  <c r="E237" i="7"/>
  <c r="F237" i="7"/>
  <c r="G237" i="7"/>
  <c r="H237" i="7"/>
  <c r="B199" i="7"/>
  <c r="C199" i="7"/>
  <c r="D199" i="7"/>
  <c r="E199" i="7"/>
  <c r="F199" i="7"/>
  <c r="G199" i="7"/>
  <c r="H199" i="7"/>
  <c r="B78" i="7"/>
  <c r="C78" i="7"/>
  <c r="D78" i="7"/>
  <c r="E78" i="7"/>
  <c r="F78" i="7"/>
  <c r="G78" i="7"/>
  <c r="H78" i="7"/>
  <c r="B80" i="7"/>
  <c r="C80" i="7"/>
  <c r="D80" i="7"/>
  <c r="E80" i="7"/>
  <c r="F80" i="7"/>
  <c r="G80" i="7"/>
  <c r="H80" i="7"/>
  <c r="B47" i="7"/>
  <c r="C47" i="7"/>
  <c r="D47" i="7"/>
  <c r="E47" i="7"/>
  <c r="F47" i="7"/>
  <c r="G47" i="7"/>
  <c r="H47" i="7"/>
  <c r="B60" i="7"/>
  <c r="C60" i="7"/>
  <c r="I60" i="7" s="1"/>
  <c r="D60" i="7"/>
  <c r="E60" i="7"/>
  <c r="F60" i="7"/>
  <c r="G60" i="7"/>
  <c r="H60" i="7"/>
  <c r="B149" i="7"/>
  <c r="C149" i="7"/>
  <c r="D149" i="7"/>
  <c r="E149" i="7"/>
  <c r="F149" i="7"/>
  <c r="G149" i="7"/>
  <c r="H149" i="7"/>
  <c r="B195" i="7"/>
  <c r="C195" i="7"/>
  <c r="D195" i="7"/>
  <c r="E195" i="7"/>
  <c r="F195" i="7"/>
  <c r="G195" i="7"/>
  <c r="H195" i="7"/>
  <c r="B196" i="7"/>
  <c r="C196" i="7"/>
  <c r="D196" i="7"/>
  <c r="E196" i="7"/>
  <c r="F196" i="7"/>
  <c r="G196" i="7"/>
  <c r="H196" i="7"/>
  <c r="B229" i="7"/>
  <c r="C229" i="7"/>
  <c r="D229" i="7"/>
  <c r="E229" i="7"/>
  <c r="F229" i="7"/>
  <c r="G229" i="7"/>
  <c r="H229" i="7"/>
  <c r="B92" i="7"/>
  <c r="C92" i="7"/>
  <c r="D92" i="7"/>
  <c r="E92" i="7"/>
  <c r="F92" i="7"/>
  <c r="G92" i="7"/>
  <c r="H92" i="7"/>
  <c r="B38" i="7"/>
  <c r="C38" i="7"/>
  <c r="D38" i="7"/>
  <c r="E38" i="7"/>
  <c r="F38" i="7"/>
  <c r="G38" i="7"/>
  <c r="H38" i="7"/>
  <c r="B186" i="7"/>
  <c r="C186" i="7"/>
  <c r="D186" i="7"/>
  <c r="E186" i="7"/>
  <c r="F186" i="7"/>
  <c r="G186" i="7"/>
  <c r="H186" i="7"/>
  <c r="B299" i="7"/>
  <c r="C299" i="7"/>
  <c r="I299" i="7" s="1"/>
  <c r="D299" i="7"/>
  <c r="E299" i="7"/>
  <c r="F299" i="7"/>
  <c r="G299" i="7"/>
  <c r="H299" i="7"/>
  <c r="B165" i="7"/>
  <c r="C165" i="7"/>
  <c r="D165" i="7"/>
  <c r="E165" i="7"/>
  <c r="F165" i="7"/>
  <c r="G165" i="7"/>
  <c r="H165" i="7"/>
  <c r="B84" i="7"/>
  <c r="C84" i="7"/>
  <c r="D84" i="7"/>
  <c r="E84" i="7"/>
  <c r="F84" i="7"/>
  <c r="G84" i="7"/>
  <c r="H84" i="7"/>
  <c r="B3" i="7"/>
  <c r="C3" i="7"/>
  <c r="D3" i="7"/>
  <c r="E3" i="7"/>
  <c r="F3" i="7"/>
  <c r="G3" i="7"/>
  <c r="H3" i="7"/>
  <c r="B298" i="7"/>
  <c r="C298" i="7"/>
  <c r="D298" i="7"/>
  <c r="E298" i="7"/>
  <c r="F298" i="7"/>
  <c r="G298" i="7"/>
  <c r="H298" i="7"/>
  <c r="B173" i="7"/>
  <c r="C173" i="7"/>
  <c r="D173" i="7"/>
  <c r="E173" i="7"/>
  <c r="F173" i="7"/>
  <c r="G173" i="7"/>
  <c r="H173" i="7"/>
  <c r="B276" i="7"/>
  <c r="C276" i="7"/>
  <c r="D276" i="7"/>
  <c r="E276" i="7"/>
  <c r="F276" i="7"/>
  <c r="G276" i="7"/>
  <c r="H276" i="7"/>
  <c r="B245" i="7"/>
  <c r="C245" i="7"/>
  <c r="D245" i="7"/>
  <c r="E245" i="7"/>
  <c r="F245" i="7"/>
  <c r="G245" i="7"/>
  <c r="H245" i="7"/>
  <c r="B213" i="7"/>
  <c r="C213" i="7"/>
  <c r="I213" i="7" s="1"/>
  <c r="D213" i="7"/>
  <c r="E213" i="7"/>
  <c r="F213" i="7"/>
  <c r="G213" i="7"/>
  <c r="H213" i="7"/>
  <c r="B234" i="7"/>
  <c r="C234" i="7"/>
  <c r="D234" i="7"/>
  <c r="E234" i="7"/>
  <c r="F234" i="7"/>
  <c r="G234" i="7"/>
  <c r="H234" i="7"/>
  <c r="B58" i="7"/>
  <c r="C58" i="7"/>
  <c r="D58" i="7"/>
  <c r="E58" i="7"/>
  <c r="F58" i="7"/>
  <c r="G58" i="7"/>
  <c r="H58" i="7"/>
  <c r="B93" i="7"/>
  <c r="C93" i="7"/>
  <c r="D93" i="7"/>
  <c r="E93" i="7"/>
  <c r="F93" i="7"/>
  <c r="G93" i="7"/>
  <c r="H93" i="7"/>
  <c r="B231" i="7"/>
  <c r="C231" i="7"/>
  <c r="D231" i="7"/>
  <c r="E231" i="7"/>
  <c r="F231" i="7"/>
  <c r="G231" i="7"/>
  <c r="H231" i="7"/>
  <c r="B236" i="7"/>
  <c r="C236" i="7"/>
  <c r="D236" i="7"/>
  <c r="E236" i="7"/>
  <c r="F236" i="7"/>
  <c r="G236" i="7"/>
  <c r="H236" i="7"/>
  <c r="B200" i="7"/>
  <c r="C200" i="7"/>
  <c r="D200" i="7"/>
  <c r="E200" i="7"/>
  <c r="F200" i="7"/>
  <c r="G200" i="7"/>
  <c r="H200" i="7"/>
  <c r="B301" i="7"/>
  <c r="C301" i="7"/>
  <c r="D301" i="7"/>
  <c r="E301" i="7"/>
  <c r="F301" i="7"/>
  <c r="G301" i="7"/>
  <c r="H301" i="7"/>
  <c r="B267" i="7"/>
  <c r="C267" i="7"/>
  <c r="I267" i="7" s="1"/>
  <c r="D267" i="7"/>
  <c r="E267" i="7"/>
  <c r="F267" i="7"/>
  <c r="G267" i="7"/>
  <c r="H267" i="7"/>
  <c r="B153" i="7"/>
  <c r="C153" i="7"/>
  <c r="D153" i="7"/>
  <c r="E153" i="7"/>
  <c r="F153" i="7"/>
  <c r="G153" i="7"/>
  <c r="H153" i="7"/>
  <c r="B132" i="7"/>
  <c r="C132" i="7"/>
  <c r="D132" i="7"/>
  <c r="E132" i="7"/>
  <c r="F132" i="7"/>
  <c r="G132" i="7"/>
  <c r="H132" i="7"/>
  <c r="B232" i="7"/>
  <c r="C232" i="7"/>
  <c r="D232" i="7"/>
  <c r="E232" i="7"/>
  <c r="F232" i="7"/>
  <c r="G232" i="7"/>
  <c r="H232" i="7"/>
  <c r="B258" i="7"/>
  <c r="C258" i="7"/>
  <c r="D258" i="7"/>
  <c r="E258" i="7"/>
  <c r="F258" i="7"/>
  <c r="G258" i="7"/>
  <c r="H258" i="7"/>
  <c r="B124" i="7"/>
  <c r="C124" i="7"/>
  <c r="D124" i="7"/>
  <c r="E124" i="7"/>
  <c r="F124" i="7"/>
  <c r="G124" i="7"/>
  <c r="H124" i="7"/>
  <c r="B36" i="7"/>
  <c r="C36" i="7"/>
  <c r="D36" i="7"/>
  <c r="E36" i="7"/>
  <c r="F36" i="7"/>
  <c r="G36" i="7"/>
  <c r="H36" i="7"/>
  <c r="B208" i="7"/>
  <c r="C208" i="7"/>
  <c r="D208" i="7"/>
  <c r="E208" i="7"/>
  <c r="F208" i="7"/>
  <c r="G208" i="7"/>
  <c r="H208" i="7"/>
  <c r="B291" i="7"/>
  <c r="C291" i="7"/>
  <c r="I291" i="7" s="1"/>
  <c r="D291" i="7"/>
  <c r="E291" i="7"/>
  <c r="F291" i="7"/>
  <c r="G291" i="7"/>
  <c r="H291" i="7"/>
  <c r="B246" i="7"/>
  <c r="C246" i="7"/>
  <c r="D246" i="7"/>
  <c r="E246" i="7"/>
  <c r="F246" i="7"/>
  <c r="G246" i="7"/>
  <c r="H246" i="7"/>
  <c r="B302" i="7"/>
  <c r="C302" i="7"/>
  <c r="D302" i="7"/>
  <c r="E302" i="7"/>
  <c r="F302" i="7"/>
  <c r="G302" i="7"/>
  <c r="H302" i="7"/>
  <c r="B203" i="7"/>
  <c r="C203" i="7"/>
  <c r="D203" i="7"/>
  <c r="E203" i="7"/>
  <c r="F203" i="7"/>
  <c r="G203" i="7"/>
  <c r="H203" i="7"/>
  <c r="B178" i="7"/>
  <c r="C178" i="7"/>
  <c r="D178" i="7"/>
  <c r="E178" i="7"/>
  <c r="F178" i="7"/>
  <c r="G178" i="7"/>
  <c r="H178" i="7"/>
  <c r="B130" i="7"/>
  <c r="C130" i="7"/>
  <c r="D130" i="7"/>
  <c r="E130" i="7"/>
  <c r="F130" i="7"/>
  <c r="G130" i="7"/>
  <c r="H130" i="7"/>
  <c r="B241" i="7"/>
  <c r="C241" i="7"/>
  <c r="D241" i="7"/>
  <c r="E241" i="7"/>
  <c r="F241" i="7"/>
  <c r="G241" i="7"/>
  <c r="H241" i="7"/>
  <c r="B312" i="7"/>
  <c r="C312" i="7"/>
  <c r="D312" i="7"/>
  <c r="E312" i="7"/>
  <c r="F312" i="7"/>
  <c r="G312" i="7"/>
  <c r="H312" i="7"/>
  <c r="B218" i="7"/>
  <c r="C218" i="7"/>
  <c r="I218" i="7" s="1"/>
  <c r="D218" i="7"/>
  <c r="E218" i="7"/>
  <c r="F218" i="7"/>
  <c r="G218" i="7"/>
  <c r="H218" i="7"/>
  <c r="B157" i="7"/>
  <c r="C157" i="7"/>
  <c r="D157" i="7"/>
  <c r="E157" i="7"/>
  <c r="F157" i="7"/>
  <c r="G157" i="7"/>
  <c r="H157" i="7"/>
  <c r="B45" i="7"/>
  <c r="C45" i="7"/>
  <c r="D45" i="7"/>
  <c r="E45" i="7"/>
  <c r="F45" i="7"/>
  <c r="G45" i="7"/>
  <c r="H45" i="7"/>
  <c r="B33" i="7"/>
  <c r="C33" i="7"/>
  <c r="D33" i="7"/>
  <c r="E33" i="7"/>
  <c r="F33" i="7"/>
  <c r="G33" i="7"/>
  <c r="H33" i="7"/>
  <c r="B134" i="7"/>
  <c r="C134" i="7"/>
  <c r="D134" i="7"/>
  <c r="E134" i="7"/>
  <c r="F134" i="7"/>
  <c r="G134" i="7"/>
  <c r="H134" i="7"/>
  <c r="B268" i="7"/>
  <c r="C268" i="7"/>
  <c r="D268" i="7"/>
  <c r="E268" i="7"/>
  <c r="F268" i="7"/>
  <c r="G268" i="7"/>
  <c r="H268" i="7"/>
  <c r="B135" i="7"/>
  <c r="C135" i="7"/>
  <c r="D135" i="7"/>
  <c r="E135" i="7"/>
  <c r="F135" i="7"/>
  <c r="G135" i="7"/>
  <c r="H135" i="7"/>
  <c r="B158" i="7"/>
  <c r="C158" i="7"/>
  <c r="D158" i="7"/>
  <c r="E158" i="7"/>
  <c r="F158" i="7"/>
  <c r="G158" i="7"/>
  <c r="H158" i="7"/>
  <c r="B23" i="7"/>
  <c r="C23" i="7"/>
  <c r="I23" i="7" s="1"/>
  <c r="D23" i="7"/>
  <c r="E23" i="7"/>
  <c r="F23" i="7"/>
  <c r="G23" i="7"/>
  <c r="H23" i="7"/>
  <c r="B169" i="7"/>
  <c r="C169" i="7"/>
  <c r="D169" i="7"/>
  <c r="E169" i="7"/>
  <c r="F169" i="7"/>
  <c r="G169" i="7"/>
  <c r="H169" i="7"/>
  <c r="B13" i="7"/>
  <c r="C13" i="7"/>
  <c r="D13" i="7"/>
  <c r="E13" i="7"/>
  <c r="F13" i="7"/>
  <c r="G13" i="7"/>
  <c r="H13" i="7"/>
  <c r="B56" i="7"/>
  <c r="C56" i="7"/>
  <c r="D56" i="7"/>
  <c r="E56" i="7"/>
  <c r="F56" i="7"/>
  <c r="G56" i="7"/>
  <c r="H56" i="7"/>
  <c r="B308" i="7"/>
  <c r="C308" i="7"/>
  <c r="D308" i="7"/>
  <c r="E308" i="7"/>
  <c r="F308" i="7"/>
  <c r="G308" i="7"/>
  <c r="H308" i="7"/>
  <c r="B215" i="7"/>
  <c r="C215" i="7"/>
  <c r="D215" i="7"/>
  <c r="E215" i="7"/>
  <c r="F215" i="7"/>
  <c r="G215" i="7"/>
  <c r="H215" i="7"/>
  <c r="B57" i="7"/>
  <c r="C57" i="7"/>
  <c r="D57" i="7"/>
  <c r="E57" i="7"/>
  <c r="F57" i="7"/>
  <c r="G57" i="7"/>
  <c r="H57" i="7"/>
  <c r="B257" i="7"/>
  <c r="C257" i="7"/>
  <c r="D257" i="7"/>
  <c r="E257" i="7"/>
  <c r="F257" i="7"/>
  <c r="G257" i="7"/>
  <c r="H257" i="7"/>
  <c r="B116" i="7"/>
  <c r="C116" i="7"/>
  <c r="I116" i="7" s="1"/>
  <c r="D116" i="7"/>
  <c r="E116" i="7"/>
  <c r="F116" i="7"/>
  <c r="G116" i="7"/>
  <c r="H116" i="7"/>
  <c r="B106" i="7"/>
  <c r="C106" i="7"/>
  <c r="D106" i="7"/>
  <c r="E106" i="7"/>
  <c r="F106" i="7"/>
  <c r="G106" i="7"/>
  <c r="H106" i="7"/>
  <c r="B108" i="7"/>
  <c r="C108" i="7"/>
  <c r="D108" i="7"/>
  <c r="E108" i="7"/>
  <c r="F108" i="7"/>
  <c r="G108" i="7"/>
  <c r="H108" i="7"/>
  <c r="B17" i="7"/>
  <c r="C17" i="7"/>
  <c r="D17" i="7"/>
  <c r="E17" i="7"/>
  <c r="F17" i="7"/>
  <c r="G17" i="7"/>
  <c r="H17" i="7"/>
  <c r="B44" i="7"/>
  <c r="C44" i="7"/>
  <c r="D44" i="7"/>
  <c r="E44" i="7"/>
  <c r="F44" i="7"/>
  <c r="G44" i="7"/>
  <c r="H44" i="7"/>
  <c r="B139" i="7"/>
  <c r="C139" i="7"/>
  <c r="D139" i="7"/>
  <c r="E139" i="7"/>
  <c r="F139" i="7"/>
  <c r="G139" i="7"/>
  <c r="H139" i="7"/>
  <c r="B201" i="7"/>
  <c r="C201" i="7"/>
  <c r="D201" i="7"/>
  <c r="E201" i="7"/>
  <c r="F201" i="7"/>
  <c r="G201" i="7"/>
  <c r="H201" i="7"/>
  <c r="B233" i="7"/>
  <c r="C233" i="7"/>
  <c r="D233" i="7"/>
  <c r="E233" i="7"/>
  <c r="F233" i="7"/>
  <c r="G233" i="7"/>
  <c r="H233" i="7"/>
  <c r="B307" i="7"/>
  <c r="C307" i="7"/>
  <c r="I307" i="7" s="1"/>
  <c r="D307" i="7"/>
  <c r="E307" i="7"/>
  <c r="F307" i="7"/>
  <c r="G307" i="7"/>
  <c r="H307" i="7"/>
  <c r="B147" i="7"/>
  <c r="C147" i="7"/>
  <c r="D147" i="7"/>
  <c r="E147" i="7"/>
  <c r="F147" i="7"/>
  <c r="G147" i="7"/>
  <c r="H147" i="7"/>
  <c r="B316" i="7"/>
  <c r="C316" i="7"/>
  <c r="D316" i="7"/>
  <c r="E316" i="7"/>
  <c r="F316" i="7"/>
  <c r="G316" i="7"/>
  <c r="H316" i="7"/>
  <c r="B284" i="7"/>
  <c r="C284" i="7"/>
  <c r="D284" i="7"/>
  <c r="E284" i="7"/>
  <c r="F284" i="7"/>
  <c r="G284" i="7"/>
  <c r="H284" i="7"/>
  <c r="B254" i="7"/>
  <c r="C254" i="7"/>
  <c r="D254" i="7"/>
  <c r="E254" i="7"/>
  <c r="F254" i="7"/>
  <c r="G254" i="7"/>
  <c r="H254" i="7"/>
  <c r="B290" i="7"/>
  <c r="C290" i="7"/>
  <c r="D290" i="7"/>
  <c r="E290" i="7"/>
  <c r="F290" i="7"/>
  <c r="G290" i="7"/>
  <c r="H290" i="7"/>
  <c r="B263" i="7"/>
  <c r="C263" i="7"/>
  <c r="D263" i="7"/>
  <c r="E263" i="7"/>
  <c r="F263" i="7"/>
  <c r="G263" i="7"/>
  <c r="H263" i="7"/>
  <c r="B238" i="7"/>
  <c r="C238" i="7"/>
  <c r="D238" i="7"/>
  <c r="E238" i="7"/>
  <c r="F238" i="7"/>
  <c r="G238" i="7"/>
  <c r="H238" i="7"/>
  <c r="B110" i="7"/>
  <c r="C110" i="7"/>
  <c r="I110" i="7" s="1"/>
  <c r="D110" i="7"/>
  <c r="E110" i="7"/>
  <c r="F110" i="7"/>
  <c r="G110" i="7"/>
  <c r="H110" i="7"/>
  <c r="B181" i="7"/>
  <c r="C181" i="7"/>
  <c r="D181" i="7"/>
  <c r="E181" i="7"/>
  <c r="F181" i="7"/>
  <c r="G181" i="7"/>
  <c r="H181" i="7"/>
  <c r="B266" i="7"/>
  <c r="C266" i="7"/>
  <c r="D266" i="7"/>
  <c r="E266" i="7"/>
  <c r="F266" i="7"/>
  <c r="G266" i="7"/>
  <c r="H266" i="7"/>
  <c r="B5" i="7"/>
  <c r="C5" i="7"/>
  <c r="D5" i="7"/>
  <c r="E5" i="7"/>
  <c r="F5" i="7"/>
  <c r="G5" i="7"/>
  <c r="H5" i="7"/>
  <c r="B154" i="7"/>
  <c r="C154" i="7"/>
  <c r="D154" i="7"/>
  <c r="E154" i="7"/>
  <c r="F154" i="7"/>
  <c r="G154" i="7"/>
  <c r="H154" i="7"/>
  <c r="B141" i="7"/>
  <c r="C141" i="7"/>
  <c r="D141" i="7"/>
  <c r="E141" i="7"/>
  <c r="F141" i="7"/>
  <c r="G141" i="7"/>
  <c r="H141" i="7"/>
  <c r="H262" i="7"/>
  <c r="G262" i="7"/>
  <c r="F262" i="7"/>
  <c r="E262" i="7"/>
  <c r="D262" i="7"/>
  <c r="C262" i="7"/>
  <c r="B262" i="7"/>
  <c r="Q9" i="4"/>
  <c r="Q8" i="4"/>
  <c r="Q7" i="4"/>
  <c r="Q13" i="4"/>
  <c r="Q12" i="4"/>
  <c r="Q14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2" i="1"/>
  <c r="I147" i="7" l="1"/>
  <c r="I169" i="7"/>
  <c r="I165" i="7"/>
  <c r="I107" i="7"/>
  <c r="I61" i="7"/>
  <c r="I228" i="7"/>
  <c r="I85" i="7"/>
  <c r="I252" i="7"/>
  <c r="I72" i="7"/>
  <c r="I54" i="7"/>
  <c r="I122" i="7"/>
  <c r="I187" i="7"/>
  <c r="I133" i="7"/>
  <c r="I266" i="7"/>
  <c r="I45" i="7"/>
  <c r="I302" i="7"/>
  <c r="I58" i="7"/>
  <c r="I71" i="7"/>
  <c r="I31" i="7"/>
  <c r="I22" i="7"/>
  <c r="I121" i="7"/>
  <c r="I306" i="7"/>
  <c r="I14" i="7"/>
  <c r="I294" i="7"/>
  <c r="I159" i="7"/>
  <c r="I3" i="7"/>
  <c r="I183" i="7"/>
  <c r="I9" i="7"/>
  <c r="I300" i="7"/>
  <c r="I156" i="7"/>
  <c r="I292" i="7"/>
  <c r="I297" i="7"/>
  <c r="I220" i="7"/>
  <c r="I253" i="7"/>
  <c r="I88" i="7"/>
  <c r="I185" i="7"/>
  <c r="I25" i="7"/>
  <c r="I154" i="7"/>
  <c r="I254" i="7"/>
  <c r="I44" i="7"/>
  <c r="I308" i="7"/>
  <c r="I134" i="7"/>
  <c r="I178" i="7"/>
  <c r="I258" i="7"/>
  <c r="I231" i="7"/>
  <c r="I298" i="7"/>
  <c r="I229" i="7"/>
  <c r="I199" i="7"/>
  <c r="I40" i="7"/>
  <c r="I174" i="7"/>
  <c r="I66" i="7"/>
  <c r="I12" i="7"/>
  <c r="I11" i="7"/>
  <c r="I243" i="7"/>
  <c r="I226" i="7"/>
  <c r="I160" i="7"/>
  <c r="I259" i="7"/>
  <c r="I219" i="7"/>
  <c r="I43" i="7"/>
  <c r="I50" i="7"/>
  <c r="I216" i="7"/>
  <c r="I319" i="7"/>
  <c r="I10" i="7"/>
  <c r="I53" i="7"/>
  <c r="I212" i="7"/>
  <c r="I274" i="7"/>
  <c r="I20" i="7"/>
  <c r="I117" i="7"/>
  <c r="I223" i="7"/>
  <c r="I82" i="7"/>
  <c r="I250" i="7"/>
  <c r="I277" i="7"/>
  <c r="I86" i="7"/>
  <c r="I65" i="7"/>
  <c r="I197" i="7"/>
  <c r="I109" i="7"/>
  <c r="I181" i="7"/>
  <c r="I106" i="7"/>
  <c r="I157" i="7"/>
  <c r="I234" i="7"/>
  <c r="I16" i="7"/>
  <c r="I240" i="7"/>
  <c r="I114" i="7"/>
  <c r="I151" i="7"/>
  <c r="I194" i="7"/>
  <c r="I177" i="7"/>
  <c r="I316" i="7"/>
  <c r="I195" i="7"/>
  <c r="I206" i="7"/>
  <c r="I315" i="7"/>
  <c r="I209" i="7"/>
  <c r="I144" i="7"/>
  <c r="I129" i="7"/>
  <c r="I207" i="7"/>
  <c r="I75" i="7"/>
  <c r="I203" i="7"/>
  <c r="I93" i="7"/>
  <c r="I196" i="7"/>
  <c r="I210" i="7"/>
  <c r="I8" i="7"/>
  <c r="I49" i="7"/>
  <c r="I278" i="7"/>
  <c r="I205" i="7"/>
  <c r="I176" i="7"/>
  <c r="I248" i="7"/>
  <c r="I268" i="7"/>
  <c r="I130" i="7"/>
  <c r="I236" i="7"/>
  <c r="I173" i="7"/>
  <c r="I92" i="7"/>
  <c r="I78" i="7"/>
  <c r="I256" i="7"/>
  <c r="I39" i="7"/>
  <c r="I314" i="7"/>
  <c r="I120" i="7"/>
  <c r="I191" i="7"/>
  <c r="I148" i="7"/>
  <c r="I288" i="7"/>
  <c r="I150" i="7"/>
  <c r="I279" i="7"/>
  <c r="I163" i="7"/>
  <c r="I63" i="7"/>
  <c r="I286" i="7"/>
  <c r="I309" i="7"/>
  <c r="I289" i="7"/>
  <c r="I180" i="7"/>
  <c r="I73" i="7"/>
  <c r="I42" i="7"/>
  <c r="I255" i="7"/>
  <c r="I35" i="7"/>
  <c r="I318" i="7"/>
  <c r="I142" i="7"/>
  <c r="I111" i="7"/>
  <c r="I32" i="7"/>
  <c r="I41" i="7"/>
  <c r="I105" i="7"/>
  <c r="I24" i="7"/>
  <c r="I30" i="7"/>
  <c r="I18" i="7"/>
  <c r="I246" i="7"/>
  <c r="I153" i="7"/>
  <c r="I149" i="7"/>
  <c r="I87" i="7"/>
  <c r="I21" i="7"/>
  <c r="I138" i="7"/>
  <c r="I77" i="7"/>
  <c r="I239" i="7"/>
  <c r="I91" i="7"/>
  <c r="I95" i="7"/>
  <c r="I273" i="7"/>
  <c r="I190" i="7"/>
  <c r="I108" i="7"/>
  <c r="I132" i="7"/>
  <c r="I293" i="7"/>
  <c r="I182" i="7"/>
  <c r="I189" i="7"/>
  <c r="I127" i="7"/>
  <c r="I81" i="7"/>
  <c r="I76" i="7"/>
  <c r="I15" i="7"/>
  <c r="I282" i="7"/>
  <c r="I37" i="7"/>
  <c r="I235" i="7"/>
  <c r="I17" i="7"/>
  <c r="I237" i="7"/>
  <c r="I192" i="7"/>
  <c r="I305" i="7"/>
  <c r="I62" i="7"/>
  <c r="I184" i="7"/>
  <c r="I193" i="7"/>
  <c r="I141" i="7"/>
  <c r="I290" i="7"/>
  <c r="I139" i="7"/>
  <c r="I215" i="7"/>
  <c r="I124" i="7"/>
  <c r="I263" i="7"/>
  <c r="I201" i="7"/>
  <c r="I57" i="7"/>
  <c r="I135" i="7"/>
  <c r="I241" i="7"/>
  <c r="I36" i="7"/>
  <c r="I200" i="7"/>
  <c r="I276" i="7"/>
  <c r="I38" i="7"/>
  <c r="I80" i="7"/>
  <c r="I164" i="7"/>
  <c r="I269" i="7"/>
  <c r="I161" i="7"/>
  <c r="I304" i="7"/>
  <c r="I136" i="7"/>
  <c r="I155" i="7"/>
  <c r="I272" i="7"/>
  <c r="I96" i="7"/>
  <c r="I145" i="7"/>
  <c r="I123" i="7"/>
  <c r="I166" i="7"/>
  <c r="I179" i="7"/>
  <c r="I172" i="7"/>
  <c r="I311" i="7"/>
  <c r="I222" i="7"/>
  <c r="I285" i="7"/>
  <c r="I225" i="7"/>
  <c r="I19" i="7"/>
  <c r="I94" i="7"/>
  <c r="I137" i="7"/>
  <c r="I128" i="7"/>
  <c r="I48" i="7"/>
  <c r="I68" i="7"/>
  <c r="I112" i="7"/>
  <c r="I67" i="7"/>
  <c r="I280" i="7"/>
  <c r="I249" i="7"/>
  <c r="I211" i="7"/>
  <c r="I74" i="7"/>
  <c r="I70" i="7"/>
  <c r="I242" i="7"/>
  <c r="I34" i="7"/>
  <c r="I102" i="7"/>
  <c r="I13" i="7"/>
  <c r="I84" i="7"/>
  <c r="I167" i="7"/>
  <c r="I244" i="7"/>
  <c r="I214" i="7"/>
  <c r="I310" i="7"/>
  <c r="I5" i="7"/>
  <c r="I284" i="7"/>
  <c r="I56" i="7"/>
  <c r="I33" i="7"/>
  <c r="I232" i="7"/>
  <c r="I198" i="7"/>
  <c r="I6" i="7"/>
  <c r="I118" i="7"/>
  <c r="I224" i="7"/>
  <c r="I55" i="7"/>
  <c r="I238" i="7"/>
  <c r="I233" i="7"/>
  <c r="I257" i="7"/>
  <c r="I158" i="7"/>
  <c r="I312" i="7"/>
  <c r="I208" i="7"/>
  <c r="I301" i="7"/>
  <c r="I245" i="7"/>
  <c r="I186" i="7"/>
  <c r="I47" i="7"/>
  <c r="I59" i="7"/>
  <c r="I204" i="7"/>
  <c r="I261" i="7"/>
  <c r="I152" i="7"/>
  <c r="I90" i="7"/>
  <c r="I281" i="7"/>
  <c r="I313" i="7"/>
  <c r="I271" i="7"/>
  <c r="I27" i="7"/>
  <c r="I99" i="7"/>
  <c r="I115" i="7"/>
  <c r="I168" i="7"/>
  <c r="I51" i="7"/>
  <c r="I119" i="7"/>
  <c r="I188" i="7"/>
  <c r="I146" i="7"/>
  <c r="I230" i="7"/>
  <c r="I251" i="7"/>
  <c r="I264" i="7"/>
  <c r="I317" i="7"/>
  <c r="I28" i="7"/>
  <c r="I283" i="7"/>
  <c r="I46" i="7"/>
  <c r="I287" i="7"/>
  <c r="I126" i="7"/>
  <c r="I98" i="7"/>
  <c r="I303" i="7"/>
  <c r="I7" i="7"/>
  <c r="I247" i="7"/>
  <c r="I262" i="7"/>
</calcChain>
</file>

<file path=xl/sharedStrings.xml><?xml version="1.0" encoding="utf-8"?>
<sst xmlns="http://schemas.openxmlformats.org/spreadsheetml/2006/main" count="3047" uniqueCount="468">
  <si>
    <t>Policy_ID</t>
  </si>
  <si>
    <t>Applicant_Age</t>
  </si>
  <si>
    <t>Gender</t>
  </si>
  <si>
    <t>Marital_Status</t>
  </si>
  <si>
    <t>Vehicle_Year</t>
  </si>
  <si>
    <t>Vehicle_Make</t>
  </si>
  <si>
    <t>Vehicle_Model</t>
  </si>
  <si>
    <t>Annual_Mileage</t>
  </si>
  <si>
    <t>Years_Driving_Exp</t>
  </si>
  <si>
    <t>At_Fault_Accidents_5yr</t>
  </si>
  <si>
    <t>Speeding_Tickets_3yr</t>
  </si>
  <si>
    <t>DUI</t>
  </si>
  <si>
    <t>Credit_Score</t>
  </si>
  <si>
    <t>Coverage_Type</t>
  </si>
  <si>
    <t>Prior_Insurance_Carrier</t>
  </si>
  <si>
    <t>Claim_Amount_Last_Year</t>
  </si>
  <si>
    <t>State</t>
  </si>
  <si>
    <t>AUTO-1002</t>
  </si>
  <si>
    <t>M</t>
  </si>
  <si>
    <t>Married</t>
  </si>
  <si>
    <t>Jeep</t>
  </si>
  <si>
    <t>Wrangler</t>
  </si>
  <si>
    <t>COMP</t>
  </si>
  <si>
    <t>Nationwide</t>
  </si>
  <si>
    <t>TX</t>
  </si>
  <si>
    <t>AUTO-1003</t>
  </si>
  <si>
    <t>Widowed</t>
  </si>
  <si>
    <t>Ford</t>
  </si>
  <si>
    <t>F-150</t>
  </si>
  <si>
    <t>N</t>
  </si>
  <si>
    <t>USAA</t>
  </si>
  <si>
    <t>CA</t>
  </si>
  <si>
    <t>AUTO-1004</t>
  </si>
  <si>
    <t>Single</t>
  </si>
  <si>
    <t>Corolla</t>
  </si>
  <si>
    <t>Y</t>
  </si>
  <si>
    <t>Allstate</t>
  </si>
  <si>
    <t>NY</t>
  </si>
  <si>
    <t>Focus</t>
  </si>
  <si>
    <t>LIAB</t>
  </si>
  <si>
    <t>Farmers</t>
  </si>
  <si>
    <t>MD</t>
  </si>
  <si>
    <t>AUTO-1007</t>
  </si>
  <si>
    <t>Progressive</t>
  </si>
  <si>
    <t>IN</t>
  </si>
  <si>
    <t>AUTO-1008</t>
  </si>
  <si>
    <t>Chevrolet</t>
  </si>
  <si>
    <t>Malibu</t>
  </si>
  <si>
    <t>VA</t>
  </si>
  <si>
    <t>AUTO-1009</t>
  </si>
  <si>
    <t>Grand Cherokee</t>
  </si>
  <si>
    <t>MI</t>
  </si>
  <si>
    <t>AUTO-1010</t>
  </si>
  <si>
    <t>Escape</t>
  </si>
  <si>
    <t>AZ</t>
  </si>
  <si>
    <t>AUTO-1011</t>
  </si>
  <si>
    <t>3 Series</t>
  </si>
  <si>
    <t>AUTO-1013</t>
  </si>
  <si>
    <t>WA</t>
  </si>
  <si>
    <t>AUTO-1014</t>
  </si>
  <si>
    <t>F</t>
  </si>
  <si>
    <t>Civic</t>
  </si>
  <si>
    <t>Travelers</t>
  </si>
  <si>
    <t>NC</t>
  </si>
  <si>
    <t>AUTO-1015</t>
  </si>
  <si>
    <t>Honda</t>
  </si>
  <si>
    <t>CR-V</t>
  </si>
  <si>
    <t>Geico</t>
  </si>
  <si>
    <t>AUTO-1016</t>
  </si>
  <si>
    <t>Toyota</t>
  </si>
  <si>
    <t>RAV4</t>
  </si>
  <si>
    <t>AUTO-1017</t>
  </si>
  <si>
    <t>AUTO-1018</t>
  </si>
  <si>
    <t>Nissan</t>
  </si>
  <si>
    <t>Sentra</t>
  </si>
  <si>
    <t>COLL</t>
  </si>
  <si>
    <t>AUTO-1019</t>
  </si>
  <si>
    <t>Accord</t>
  </si>
  <si>
    <t>AUTO-1020</t>
  </si>
  <si>
    <t>BMW</t>
  </si>
  <si>
    <t>MO</t>
  </si>
  <si>
    <t>AUTO-1021</t>
  </si>
  <si>
    <t>AUTO-1022</t>
  </si>
  <si>
    <t>Rogue</t>
  </si>
  <si>
    <t>AUTO-1023</t>
  </si>
  <si>
    <t>Divorced</t>
  </si>
  <si>
    <t>FL</t>
  </si>
  <si>
    <t>AUTO-1024</t>
  </si>
  <si>
    <t>Camry</t>
  </si>
  <si>
    <t>AUTO-1025</t>
  </si>
  <si>
    <t>State Farm</t>
  </si>
  <si>
    <t>AUTO-1027</t>
  </si>
  <si>
    <t>AUTO-1028</t>
  </si>
  <si>
    <t>AUTO-1029</t>
  </si>
  <si>
    <t>AUTO-1030</t>
  </si>
  <si>
    <t>CO</t>
  </si>
  <si>
    <t>AUTO-1031</t>
  </si>
  <si>
    <t>AUTO-1032</t>
  </si>
  <si>
    <t>PA</t>
  </si>
  <si>
    <t>IL</t>
  </si>
  <si>
    <t>AUTO-1034</t>
  </si>
  <si>
    <t>AUTO-1035</t>
  </si>
  <si>
    <t>AUTO-1036</t>
  </si>
  <si>
    <t>MA</t>
  </si>
  <si>
    <t>AUTO-1037</t>
  </si>
  <si>
    <t>OH</t>
  </si>
  <si>
    <t>AUTO-1039</t>
  </si>
  <si>
    <t>AUTO-1040</t>
  </si>
  <si>
    <t>TN</t>
  </si>
  <si>
    <t>AUTO-1042</t>
  </si>
  <si>
    <t>Silverado</t>
  </si>
  <si>
    <t>AUTO-1043</t>
  </si>
  <si>
    <t xml:space="preserve">CA </t>
  </si>
  <si>
    <t>AUTO-1044</t>
  </si>
  <si>
    <t>AUTO-1045</t>
  </si>
  <si>
    <t>AUTO-1046</t>
  </si>
  <si>
    <t>AUTO-1047</t>
  </si>
  <si>
    <t>Altima</t>
  </si>
  <si>
    <t>AUTO-1048</t>
  </si>
  <si>
    <t>AUTO-1050</t>
  </si>
  <si>
    <t>AUTO-1051</t>
  </si>
  <si>
    <t>AUTO-1052</t>
  </si>
  <si>
    <t>AUTO-1054</t>
  </si>
  <si>
    <t>AUTO-1055</t>
  </si>
  <si>
    <t>AUTO-1056</t>
  </si>
  <si>
    <t>AUTO-1057</t>
  </si>
  <si>
    <t>NJ</t>
  </si>
  <si>
    <t>AUTO-1058</t>
  </si>
  <si>
    <t>AUTO-1060</t>
  </si>
  <si>
    <t>5 Series</t>
  </si>
  <si>
    <t>AUTO-1061</t>
  </si>
  <si>
    <t>AUTO-1062</t>
  </si>
  <si>
    <t>AUTO-1063</t>
  </si>
  <si>
    <t>AUTO-1064</t>
  </si>
  <si>
    <t>AUTO-1065</t>
  </si>
  <si>
    <t>AUTO-1066</t>
  </si>
  <si>
    <t>AUTO-1067</t>
  </si>
  <si>
    <t>AUTO-1068</t>
  </si>
  <si>
    <t>AUTO-1069</t>
  </si>
  <si>
    <t>AUTO-1070</t>
  </si>
  <si>
    <t>AUTO-1071</t>
  </si>
  <si>
    <t>AUTO-1073</t>
  </si>
  <si>
    <t>GA</t>
  </si>
  <si>
    <t>AUTO-1074</t>
  </si>
  <si>
    <t>AUTO-1075</t>
  </si>
  <si>
    <t>AUTO-1076</t>
  </si>
  <si>
    <t>AUTO-1077</t>
  </si>
  <si>
    <t>AUTO-1078</t>
  </si>
  <si>
    <t>AUTO-1079</t>
  </si>
  <si>
    <t>AUTO-1188</t>
  </si>
  <si>
    <t>AUTO-1080</t>
  </si>
  <si>
    <t>AUTO-1081</t>
  </si>
  <si>
    <t>AUTO-1082</t>
  </si>
  <si>
    <t>AUTO-1083</t>
  </si>
  <si>
    <t>AUTO-1084</t>
  </si>
  <si>
    <t>AUTO-1087</t>
  </si>
  <si>
    <t>AUTO-1088</t>
  </si>
  <si>
    <t>AUTO-1089</t>
  </si>
  <si>
    <t>AUTO-1090</t>
  </si>
  <si>
    <t>AUTO-1091</t>
  </si>
  <si>
    <t>AUTO-1092</t>
  </si>
  <si>
    <t>AUTO-1093</t>
  </si>
  <si>
    <t>AUTO-1094</t>
  </si>
  <si>
    <t>AUTO-1095</t>
  </si>
  <si>
    <t>AUTO-1096</t>
  </si>
  <si>
    <t>AUTO-1097</t>
  </si>
  <si>
    <t>AUTO-1099</t>
  </si>
  <si>
    <t>AUTO-1100</t>
  </si>
  <si>
    <t>AUTO-1101</t>
  </si>
  <si>
    <t>AUTO-1102</t>
  </si>
  <si>
    <t>AUTO-1103</t>
  </si>
  <si>
    <t>AUTO-1104</t>
  </si>
  <si>
    <t>AUTO-1105</t>
  </si>
  <si>
    <t>AUTO-1106</t>
  </si>
  <si>
    <t>AUTO-1107</t>
  </si>
  <si>
    <t>AUTO-1109</t>
  </si>
  <si>
    <t>AUTO-1110</t>
  </si>
  <si>
    <t>AUTO-1111</t>
  </si>
  <si>
    <t>AUTO-1112</t>
  </si>
  <si>
    <t>AUTO-1113</t>
  </si>
  <si>
    <t>AUTO-1114</t>
  </si>
  <si>
    <t>AUTO-1115</t>
  </si>
  <si>
    <t>AUTO-1116</t>
  </si>
  <si>
    <t>AUTO-1117</t>
  </si>
  <si>
    <t>X5</t>
  </si>
  <si>
    <t>AUTO-1118</t>
  </si>
  <si>
    <t>AUTO-1119</t>
  </si>
  <si>
    <t>AUTO-1120</t>
  </si>
  <si>
    <t>AUTO-1121</t>
  </si>
  <si>
    <t>AUTO-1122</t>
  </si>
  <si>
    <t>AUTO-1123</t>
  </si>
  <si>
    <t>AUTO-1124</t>
  </si>
  <si>
    <t>AUTO-1125</t>
  </si>
  <si>
    <t>AUTO-1126</t>
  </si>
  <si>
    <t>AUTO-1127</t>
  </si>
  <si>
    <t>AUTO-1128</t>
  </si>
  <si>
    <t>AUTO-1129</t>
  </si>
  <si>
    <t>AUTO-1130</t>
  </si>
  <si>
    <t>AUTO-1131</t>
  </si>
  <si>
    <t>AUTO-1132</t>
  </si>
  <si>
    <t>AUTO-1133</t>
  </si>
  <si>
    <t>AUTO-1158</t>
  </si>
  <si>
    <t>AUTO-1134</t>
  </si>
  <si>
    <t>AUTO-1136</t>
  </si>
  <si>
    <t>AUTO-1137</t>
  </si>
  <si>
    <t>AUTO-1138</t>
  </si>
  <si>
    <t>AUTO-1139</t>
  </si>
  <si>
    <t>AUTO-1141</t>
  </si>
  <si>
    <t>AUTO-1142</t>
  </si>
  <si>
    <t>AUTO-1143</t>
  </si>
  <si>
    <t>AUTO-1144</t>
  </si>
  <si>
    <t>AUTO-1145</t>
  </si>
  <si>
    <t>AUTO-1147</t>
  </si>
  <si>
    <t>AUTO-1148</t>
  </si>
  <si>
    <t>AUTO-1149</t>
  </si>
  <si>
    <t>AUTO-1150</t>
  </si>
  <si>
    <t>AUTO-1151</t>
  </si>
  <si>
    <t>AUTO-1152</t>
  </si>
  <si>
    <t>AUTO-1153</t>
  </si>
  <si>
    <t>AUTO-1156</t>
  </si>
  <si>
    <t>AUTO-1157</t>
  </si>
  <si>
    <t>AUTO-1159</t>
  </si>
  <si>
    <t xml:space="preserve"> 3 Series</t>
  </si>
  <si>
    <t>AUTO-1160</t>
  </si>
  <si>
    <t>AUTO-1161</t>
  </si>
  <si>
    <t>AUTO-1162</t>
  </si>
  <si>
    <t>AUTO-1163</t>
  </si>
  <si>
    <t>AUTO-1164</t>
  </si>
  <si>
    <t>AUTO-1165</t>
  </si>
  <si>
    <t>AUTO-1166</t>
  </si>
  <si>
    <t>AUTO-1167</t>
  </si>
  <si>
    <t>AUTO-1168</t>
  </si>
  <si>
    <t>AUTO-1169</t>
  </si>
  <si>
    <t>AUTO-1170</t>
  </si>
  <si>
    <t>AUTO-1171</t>
  </si>
  <si>
    <t>AUTO-1172</t>
  </si>
  <si>
    <t>AUTO-1173</t>
  </si>
  <si>
    <t>AUTO-1174</t>
  </si>
  <si>
    <t>AUTO-1175</t>
  </si>
  <si>
    <t>AUTO-1176</t>
  </si>
  <si>
    <t>AUTO-1177</t>
  </si>
  <si>
    <t>AUTO-1179</t>
  </si>
  <si>
    <t>AUTO-1180</t>
  </si>
  <si>
    <t>AUTO-1181</t>
  </si>
  <si>
    <t>AUTO-1182</t>
  </si>
  <si>
    <t>AUTO-1183</t>
  </si>
  <si>
    <t>AUTO-1184</t>
  </si>
  <si>
    <t>AUTO-1185</t>
  </si>
  <si>
    <t>AUTO-1186</t>
  </si>
  <si>
    <t>AUTO-1187</t>
  </si>
  <si>
    <t>AUTO-1189</t>
  </si>
  <si>
    <t>AUTO-1190</t>
  </si>
  <si>
    <t>AUTO-1191</t>
  </si>
  <si>
    <t>AUTO-1192</t>
  </si>
  <si>
    <t>AUTO-1193</t>
  </si>
  <si>
    <t>AUTO-1194</t>
  </si>
  <si>
    <t>AUTO-1196</t>
  </si>
  <si>
    <t>AUTO-1197</t>
  </si>
  <si>
    <t>AUTO-1198</t>
  </si>
  <si>
    <t>AUTO-1199</t>
  </si>
  <si>
    <t>AUTO-1200</t>
  </si>
  <si>
    <t>AUTO-1201</t>
  </si>
  <si>
    <t>AUTO-1202</t>
  </si>
  <si>
    <t>AUTO-1203</t>
  </si>
  <si>
    <t>AUTO-1205</t>
  </si>
  <si>
    <t>AUTO-1206</t>
  </si>
  <si>
    <t>AUTO-1207</t>
  </si>
  <si>
    <t>AUTO-1208</t>
  </si>
  <si>
    <t>AUTO-1209</t>
  </si>
  <si>
    <t>AUTO-1210</t>
  </si>
  <si>
    <t>AUTO-1211</t>
  </si>
  <si>
    <t>AUTO-1227</t>
  </si>
  <si>
    <t>AUTO-1213</t>
  </si>
  <si>
    <t>AUTO-1214</t>
  </si>
  <si>
    <t>AUTO-1215</t>
  </si>
  <si>
    <t>AUTO-1216</t>
  </si>
  <si>
    <t>AUTO-1218</t>
  </si>
  <si>
    <t>AUTO-1219</t>
  </si>
  <si>
    <t>AUTO-1220</t>
  </si>
  <si>
    <t>AUTO-1222</t>
  </si>
  <si>
    <t>AUTO-1223</t>
  </si>
  <si>
    <t>AUTO-1224</t>
  </si>
  <si>
    <t>AUTO-1225</t>
  </si>
  <si>
    <t>AUTO-1226</t>
  </si>
  <si>
    <t>AUTO-1228</t>
  </si>
  <si>
    <t>AUTO-1229</t>
  </si>
  <si>
    <t>AUTO-1230</t>
  </si>
  <si>
    <t>AUTO-1231</t>
  </si>
  <si>
    <t>AUTO-1232</t>
  </si>
  <si>
    <t>AUTO-1233</t>
  </si>
  <si>
    <t>AUTO-1234</t>
  </si>
  <si>
    <t>AUTO-1235</t>
  </si>
  <si>
    <t>AUTO-1236</t>
  </si>
  <si>
    <t>AUTO-1237</t>
  </si>
  <si>
    <t>AUTO-1238</t>
  </si>
  <si>
    <t>AUTO-1239</t>
  </si>
  <si>
    <t>AUTO-1240</t>
  </si>
  <si>
    <t>AUTO-1242</t>
  </si>
  <si>
    <t>AUTO-1243</t>
  </si>
  <si>
    <t xml:space="preserve"> Wrangler</t>
  </si>
  <si>
    <t>AUTO-1244</t>
  </si>
  <si>
    <t>AUTO-1245</t>
  </si>
  <si>
    <t>AUTO-1246</t>
  </si>
  <si>
    <t>AUTO-1247</t>
  </si>
  <si>
    <t>AUTO-1248</t>
  </si>
  <si>
    <t>AUTO-1249</t>
  </si>
  <si>
    <t>AUTO-1250</t>
  </si>
  <si>
    <t>AUTO-1251</t>
  </si>
  <si>
    <t>AUTO-1253</t>
  </si>
  <si>
    <t>AUTO-1254</t>
  </si>
  <si>
    <t>AUTO-1255</t>
  </si>
  <si>
    <t>AUTO-1256</t>
  </si>
  <si>
    <t>AUTO-1257</t>
  </si>
  <si>
    <t>AUTO-1258</t>
  </si>
  <si>
    <t>AUTO-1259</t>
  </si>
  <si>
    <t>AUTO-1260</t>
  </si>
  <si>
    <t>AUTO-1261</t>
  </si>
  <si>
    <t>AUTO-1262</t>
  </si>
  <si>
    <t>AUTO-1263</t>
  </si>
  <si>
    <t>AUTO-1264</t>
  </si>
  <si>
    <t>AUTO-1266</t>
  </si>
  <si>
    <t>AUTO-1267</t>
  </si>
  <si>
    <t>AUTO-1269</t>
  </si>
  <si>
    <t>AUTO-1270</t>
  </si>
  <si>
    <t>AUTO-1271</t>
  </si>
  <si>
    <t>AUTO-1272</t>
  </si>
  <si>
    <t>AUTO-1273</t>
  </si>
  <si>
    <t>AUTO-1274</t>
  </si>
  <si>
    <t>AUTO-1275</t>
  </si>
  <si>
    <t>AUTO-1276</t>
  </si>
  <si>
    <t>AUTO-1277</t>
  </si>
  <si>
    <t>AUTO-1278</t>
  </si>
  <si>
    <t>AUTO-1279</t>
  </si>
  <si>
    <t>AUTO-1280</t>
  </si>
  <si>
    <t>AUTO-1281</t>
  </si>
  <si>
    <t>AUTO-1282</t>
  </si>
  <si>
    <t>AUTO-1283</t>
  </si>
  <si>
    <t>AUTO-1284</t>
  </si>
  <si>
    <t>AUTO-1285</t>
  </si>
  <si>
    <t>AUTO-1286</t>
  </si>
  <si>
    <t>AUTO-1287</t>
  </si>
  <si>
    <t>AUTO-1289</t>
  </si>
  <si>
    <t>AUTO-1290</t>
  </si>
  <si>
    <t>AUTO-1291</t>
  </si>
  <si>
    <t>AUTO-1292</t>
  </si>
  <si>
    <t>AUTO-1293</t>
  </si>
  <si>
    <t>AUTO-1294</t>
  </si>
  <si>
    <t>AUTO-1295</t>
  </si>
  <si>
    <t>AUTO-1296</t>
  </si>
  <si>
    <t>AUTO-1297</t>
  </si>
  <si>
    <t>AUTO-1298</t>
  </si>
  <si>
    <t>AUTO-1299</t>
  </si>
  <si>
    <t>AUTO-1300</t>
  </si>
  <si>
    <t>AUTO-1301</t>
  </si>
  <si>
    <t>AUTO-1302</t>
  </si>
  <si>
    <t>AUTO-1303</t>
  </si>
  <si>
    <t>AUTO-1304</t>
  </si>
  <si>
    <t>AUTO-1305</t>
  </si>
  <si>
    <t>AUTO-1307</t>
  </si>
  <si>
    <t>AUTO-1308</t>
  </si>
  <si>
    <t>AUTO-1309</t>
  </si>
  <si>
    <t>AUTO-1310</t>
  </si>
  <si>
    <t>AUTO-1311</t>
  </si>
  <si>
    <t>AUTO-1312</t>
  </si>
  <si>
    <t>AUTO-1313</t>
  </si>
  <si>
    <t>AUTO-1314</t>
  </si>
  <si>
    <t>AUTO-1315</t>
  </si>
  <si>
    <t>AUTO-1316</t>
  </si>
  <si>
    <t>AUTO-1318</t>
  </si>
  <si>
    <t>AUTO-1319</t>
  </si>
  <si>
    <t>AUTO-1320</t>
  </si>
  <si>
    <t>AUTO-1321</t>
  </si>
  <si>
    <t>AUTO-1322</t>
  </si>
  <si>
    <t>AUTO-1323</t>
  </si>
  <si>
    <t>AUTO-1324</t>
  </si>
  <si>
    <t>AUTO-1325</t>
  </si>
  <si>
    <t>AUTO-1326</t>
  </si>
  <si>
    <t>AUTO-1327</t>
  </si>
  <si>
    <t>AUTO-1328</t>
  </si>
  <si>
    <t>AUTO-1329</t>
  </si>
  <si>
    <t>AUTO-1330</t>
  </si>
  <si>
    <t>AUTO-1331</t>
  </si>
  <si>
    <t>AUTO-1332</t>
  </si>
  <si>
    <t>AUTO-1333</t>
  </si>
  <si>
    <t>AUTO-1334</t>
  </si>
  <si>
    <t>AUTO-1335</t>
  </si>
  <si>
    <t>AUTO-1336</t>
  </si>
  <si>
    <t>AUTO-1337</t>
  </si>
  <si>
    <t>AUTO-1338</t>
  </si>
  <si>
    <t>AUTO-1339</t>
  </si>
  <si>
    <t>AUTO-1340</t>
  </si>
  <si>
    <t>AUTO-1341</t>
  </si>
  <si>
    <t>AUTO-1342</t>
  </si>
  <si>
    <t>AUTO-1343</t>
  </si>
  <si>
    <t>AUTO-1344</t>
  </si>
  <si>
    <t>AUTO-1345</t>
  </si>
  <si>
    <t>AUTO-1346</t>
  </si>
  <si>
    <t>AUTO-1347</t>
  </si>
  <si>
    <t>AUTO-1348</t>
  </si>
  <si>
    <t>AUTO-1349</t>
  </si>
  <si>
    <t>EquiNx</t>
  </si>
  <si>
    <t>Row Labels</t>
  </si>
  <si>
    <t>Grand Total</t>
  </si>
  <si>
    <t>Count of Policy_ID</t>
  </si>
  <si>
    <t>18-27</t>
  </si>
  <si>
    <t>28-37</t>
  </si>
  <si>
    <t>38-47</t>
  </si>
  <si>
    <t>48-57</t>
  </si>
  <si>
    <t>58-67</t>
  </si>
  <si>
    <t>68-77</t>
  </si>
  <si>
    <t>2000-2004</t>
  </si>
  <si>
    <t>2005-2009</t>
  </si>
  <si>
    <t>2010-2014</t>
  </si>
  <si>
    <t>2015-2019</t>
  </si>
  <si>
    <t>2020-2024</t>
  </si>
  <si>
    <t>3240-6739</t>
  </si>
  <si>
    <t>6740-10239</t>
  </si>
  <si>
    <t>10240-13739</t>
  </si>
  <si>
    <t>13740-17239</t>
  </si>
  <si>
    <t>17240-20739</t>
  </si>
  <si>
    <t>20740-24239</t>
  </si>
  <si>
    <t>24240-27739</t>
  </si>
  <si>
    <t>0-9</t>
  </si>
  <si>
    <t>10-19</t>
  </si>
  <si>
    <t>20-29</t>
  </si>
  <si>
    <t>30-39</t>
  </si>
  <si>
    <t>40-49</t>
  </si>
  <si>
    <t>50-59</t>
  </si>
  <si>
    <t>Experience</t>
  </si>
  <si>
    <t>At Fault #</t>
  </si>
  <si>
    <t>Speeding Ticket #</t>
  </si>
  <si>
    <t>LibertYMutual</t>
  </si>
  <si>
    <t>AmericaNFamily</t>
  </si>
  <si>
    <t>300-409</t>
  </si>
  <si>
    <t>410-519</t>
  </si>
  <si>
    <t>520-629</t>
  </si>
  <si>
    <t>630-739</t>
  </si>
  <si>
    <t>740-850</t>
  </si>
  <si>
    <t>Credit Score</t>
  </si>
  <si>
    <t>Claim Last Year</t>
  </si>
  <si>
    <t>Coverage</t>
  </si>
  <si>
    <t>Distribution</t>
  </si>
  <si>
    <t>Demographic</t>
  </si>
  <si>
    <t>Claim Cost Last Year</t>
  </si>
  <si>
    <t>Annual Mileage</t>
  </si>
  <si>
    <t>FICO</t>
  </si>
  <si>
    <t>Average</t>
  </si>
  <si>
    <t>Median</t>
  </si>
  <si>
    <t>STDDEV:</t>
  </si>
  <si>
    <t>Age</t>
  </si>
  <si>
    <t>Average:</t>
  </si>
  <si>
    <t>Column1</t>
  </si>
  <si>
    <t>Column2</t>
  </si>
  <si>
    <t>Median:</t>
  </si>
  <si>
    <t>Applicant Age</t>
  </si>
  <si>
    <t>Years_Exp</t>
  </si>
  <si>
    <t>At_Fault_Accidents</t>
  </si>
  <si>
    <t>credit_score</t>
  </si>
  <si>
    <t>annual_milage</t>
  </si>
  <si>
    <t>Age Multiplier</t>
  </si>
  <si>
    <t>exp multiplier</t>
  </si>
  <si>
    <t>at fault</t>
  </si>
  <si>
    <t>multiplier</t>
  </si>
  <si>
    <t>fico</t>
  </si>
  <si>
    <t>mileage</t>
  </si>
  <si>
    <t>mult</t>
  </si>
  <si>
    <t>coverage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</si>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</sst>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BDFC20"/>
      <color rgb="FFBCC511"/>
      <color rgb="FFD7D200"/>
      <color rgb="FFFFFF19"/>
      <color rgb="FFFFFF66"/>
      <color rgb="FFEFF2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Applicant</a:t>
            </a:r>
            <a:r>
              <a:rPr lang="en-US" b="1" baseline="0"/>
              <a:t> at Fault Past 5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8.8616816654553704E-2"/>
              <c:y val="-6.09876602496025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  <c:dLbl>
          <c:idx val="0"/>
          <c:layout>
            <c:manualLayout>
              <c:x val="-6.3693336970460604E-2"/>
              <c:y val="7.975309417255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6.0924061450005743E-2"/>
              <c:y val="-8.44444526532956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Distribution'!$H$13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F-497B-8D02-7EE3CDAF17B6}"/>
              </c:ext>
            </c:extLst>
          </c:dPt>
          <c:dPt>
            <c:idx val="1"/>
            <c:bubble3D val="0"/>
            <c:spPr>
              <a:solidFill>
                <a:srgbClr val="EFF2AC"/>
              </a:solidFill>
              <a:ln w="19050">
                <a:solidFill>
                  <a:srgbClr val="BCC51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6F-497B-8D02-7EE3CDAF17B6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6F-497B-8D02-7EE3CDAF17B6}"/>
              </c:ext>
            </c:extLst>
          </c:dPt>
          <c:dLbls>
            <c:dLbl>
              <c:idx val="0"/>
              <c:layout>
                <c:manualLayout>
                  <c:x val="8.8616816654553704E-2"/>
                  <c:y val="-6.098766024960251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F-497B-8D02-7EE3CDAF17B6}"/>
                </c:ext>
              </c:extLst>
            </c:dLbl>
            <c:dLbl>
              <c:idx val="1"/>
              <c:layout>
                <c:manualLayout>
                  <c:x val="-6.3693336970460604E-2"/>
                  <c:y val="7.97530941725570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F-497B-8D02-7EE3CDAF17B6}"/>
                </c:ext>
              </c:extLst>
            </c:dLbl>
            <c:dLbl>
              <c:idx val="2"/>
              <c:layout>
                <c:manualLayout>
                  <c:x val="-6.0924061450005743E-2"/>
                  <c:y val="-8.444445265329568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6F-497B-8D02-7EE3CDAF17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Distribution'!$G$14:$G$17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'Data Distribution'!$H$14:$H$17</c:f>
              <c:numCache>
                <c:formatCode>General</c:formatCode>
                <c:ptCount val="3"/>
                <c:pt idx="0">
                  <c:v>142</c:v>
                </c:pt>
                <c:pt idx="1">
                  <c:v>130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6F-497B-8D02-7EE3CDAF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DUI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6.0924061450005743E-2"/>
              <c:y val="-6.5679018730341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7.7539714572734592E-2"/>
              <c:y val="-4.69135848073873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6-433F-9DE9-714A11F20D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6-433F-9DE9-714A11F20D61}"/>
              </c:ext>
            </c:extLst>
          </c:dPt>
          <c:dLbls>
            <c:dLbl>
              <c:idx val="0"/>
              <c:layout>
                <c:manualLayout>
                  <c:x val="6.0924061450005743E-2"/>
                  <c:y val="-6.567901873034112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86-433F-9DE9-714A11F20D61}"/>
                </c:ext>
              </c:extLst>
            </c:dLbl>
            <c:dLbl>
              <c:idx val="1"/>
              <c:layout>
                <c:manualLayout>
                  <c:x val="-7.7539714572734592E-2"/>
                  <c:y val="-4.6913584807387349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86-433F-9DE9-714A11F20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Distribution'!$J$5:$J$7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'Data Distribution'!$K$5:$K$7</c:f>
              <c:numCache>
                <c:formatCode>General</c:formatCode>
                <c:ptCount val="2"/>
                <c:pt idx="0">
                  <c:v>122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6-433F-9DE9-714A11F20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Claim Last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7.4737763952465994E-2"/>
              <c:y val="-9.3827169614773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7.7505829284038832E-2"/>
              <c:y val="7.0370377211079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Distribution'!$Q$14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B-4611-A469-E64E5697A2F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B-4611-A469-E64E5697A2FC}"/>
              </c:ext>
            </c:extLst>
          </c:dPt>
          <c:dLbls>
            <c:dLbl>
              <c:idx val="0"/>
              <c:layout>
                <c:manualLayout>
                  <c:x val="7.4737763952465994E-2"/>
                  <c:y val="-9.382716961477302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7B-4611-A469-E64E5697A2FC}"/>
                </c:ext>
              </c:extLst>
            </c:dLbl>
            <c:dLbl>
              <c:idx val="1"/>
              <c:layout>
                <c:manualLayout>
                  <c:x val="-7.7505829284038832E-2"/>
                  <c:y val="7.03703772110797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7B-4611-A469-E64E5697A2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Distribution'!$P$15:$P$17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'Data Distribution'!$Q$15:$Q$17</c:f>
              <c:numCache>
                <c:formatCode>General</c:formatCode>
                <c:ptCount val="2"/>
                <c:pt idx="0">
                  <c:v>131</c:v>
                </c:pt>
                <c:pt idx="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7B-4611-A469-E64E5697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Speeding Tickets Past 3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Distribution'!$H$19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07-4143-9EF1-B966EC604CA5}"/>
              </c:ext>
            </c:extLst>
          </c:dPt>
          <c:dPt>
            <c:idx val="1"/>
            <c:bubble3D val="0"/>
            <c:spPr>
              <a:solidFill>
                <a:srgbClr val="FFFF19"/>
              </a:solidFill>
              <a:ln w="19050">
                <a:solidFill>
                  <a:srgbClr val="D7D2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07-4143-9EF1-B966EC604CA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07-4143-9EF1-B966EC604CA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07-4143-9EF1-B966EC604CA5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0.1435185185185185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7-4143-9EF1-B966EC604CA5}"/>
                </c:ext>
              </c:extLst>
            </c:dLbl>
            <c:dLbl>
              <c:idx val="1"/>
              <c:layout>
                <c:manualLayout>
                  <c:x val="0.14166666666666666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7-4143-9EF1-B966EC604CA5}"/>
                </c:ext>
              </c:extLst>
            </c:dLbl>
            <c:dLbl>
              <c:idx val="2"/>
              <c:layout>
                <c:manualLayout>
                  <c:x val="-8.6111111111111138E-2"/>
                  <c:y val="7.407407407407415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7-4143-9EF1-B966EC604CA5}"/>
                </c:ext>
              </c:extLst>
            </c:dLbl>
            <c:dLbl>
              <c:idx val="3"/>
              <c:layout>
                <c:manualLayout>
                  <c:x val="-6.3888888888888884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07-4143-9EF1-B966EC604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Distribution'!$G$20:$G$24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'Data Distribution'!$H$20:$H$24</c:f>
              <c:numCache>
                <c:formatCode>General</c:formatCode>
                <c:ptCount val="4"/>
                <c:pt idx="0">
                  <c:v>98</c:v>
                </c:pt>
                <c:pt idx="1">
                  <c:v>104</c:v>
                </c:pt>
                <c:pt idx="2">
                  <c:v>52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07-4143-9EF1-B966EC604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Vehicle</a:t>
            </a:r>
            <a:r>
              <a:rPr lang="en-US" b="1" baseline="0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Year</a:t>
            </a:r>
            <a:endParaRPr lang="en-US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Distribution'!$D$5:$D$10</c:f>
              <c:strCache>
                <c:ptCount val="5"/>
                <c:pt idx="0">
                  <c:v>2000-2004</c:v>
                </c:pt>
                <c:pt idx="1">
                  <c:v>2005-2009</c:v>
                </c:pt>
                <c:pt idx="2">
                  <c:v>2010-2014</c:v>
                </c:pt>
                <c:pt idx="3">
                  <c:v>2015-2019</c:v>
                </c:pt>
                <c:pt idx="4">
                  <c:v>2020-2024</c:v>
                </c:pt>
              </c:strCache>
            </c:strRef>
          </c:cat>
          <c:val>
            <c:numRef>
              <c:f>'Data Distribution'!$E$5:$E$10</c:f>
              <c:numCache>
                <c:formatCode>General</c:formatCode>
                <c:ptCount val="5"/>
                <c:pt idx="0">
                  <c:v>59</c:v>
                </c:pt>
                <c:pt idx="1">
                  <c:v>49</c:v>
                </c:pt>
                <c:pt idx="2">
                  <c:v>67</c:v>
                </c:pt>
                <c:pt idx="3">
                  <c:v>72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6-40DB-9DFA-2F3662C11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087071"/>
        <c:axId val="1856700431"/>
      </c:barChart>
      <c:catAx>
        <c:axId val="2590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56700431"/>
        <c:crosses val="autoZero"/>
        <c:auto val="1"/>
        <c:lblAlgn val="ctr"/>
        <c:lblOffset val="100"/>
        <c:noMultiLvlLbl val="0"/>
      </c:catAx>
      <c:valAx>
        <c:axId val="18567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8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Vehicle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Distribution'!$D$13:$D$20</c:f>
              <c:strCache>
                <c:ptCount val="7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Jeep</c:v>
                </c:pt>
                <c:pt idx="5">
                  <c:v>Nissan</c:v>
                </c:pt>
                <c:pt idx="6">
                  <c:v>Toyota</c:v>
                </c:pt>
              </c:strCache>
            </c:strRef>
          </c:cat>
          <c:val>
            <c:numRef>
              <c:f>'Data Distribution'!$E$13:$E$20</c:f>
              <c:numCache>
                <c:formatCode>General</c:formatCode>
                <c:ptCount val="7"/>
                <c:pt idx="0">
                  <c:v>26</c:v>
                </c:pt>
                <c:pt idx="1">
                  <c:v>29</c:v>
                </c:pt>
                <c:pt idx="2">
                  <c:v>74</c:v>
                </c:pt>
                <c:pt idx="3">
                  <c:v>74</c:v>
                </c:pt>
                <c:pt idx="4">
                  <c:v>28</c:v>
                </c:pt>
                <c:pt idx="5">
                  <c:v>34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2C2-9A03-F7ED721D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96991"/>
        <c:axId val="262778607"/>
      </c:barChart>
      <c:catAx>
        <c:axId val="18119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62778607"/>
        <c:crosses val="autoZero"/>
        <c:auto val="1"/>
        <c:lblAlgn val="ctr"/>
        <c:lblOffset val="100"/>
        <c:noMultiLvlLbl val="0"/>
      </c:catAx>
      <c:valAx>
        <c:axId val="2627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Annual Mileage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Distribution'!$E$22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Distribution'!$D$23:$D$30</c:f>
              <c:strCache>
                <c:ptCount val="7"/>
                <c:pt idx="0">
                  <c:v>3240-6739</c:v>
                </c:pt>
                <c:pt idx="1">
                  <c:v>6740-10239</c:v>
                </c:pt>
                <c:pt idx="2">
                  <c:v>10240-13739</c:v>
                </c:pt>
                <c:pt idx="3">
                  <c:v>13740-17239</c:v>
                </c:pt>
                <c:pt idx="4">
                  <c:v>17240-20739</c:v>
                </c:pt>
                <c:pt idx="5">
                  <c:v>20740-24239</c:v>
                </c:pt>
                <c:pt idx="6">
                  <c:v>24240-27739</c:v>
                </c:pt>
              </c:strCache>
            </c:strRef>
          </c:cat>
          <c:val>
            <c:numRef>
              <c:f>'Data Distribution'!$E$23:$E$30</c:f>
              <c:numCache>
                <c:formatCode>General</c:formatCode>
                <c:ptCount val="7"/>
                <c:pt idx="0">
                  <c:v>45</c:v>
                </c:pt>
                <c:pt idx="1">
                  <c:v>51</c:v>
                </c:pt>
                <c:pt idx="2">
                  <c:v>46</c:v>
                </c:pt>
                <c:pt idx="3">
                  <c:v>54</c:v>
                </c:pt>
                <c:pt idx="4">
                  <c:v>57</c:v>
                </c:pt>
                <c:pt idx="5">
                  <c:v>52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1F5-BDBC-C8959592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258703"/>
        <c:axId val="262922607"/>
      </c:barChart>
      <c:catAx>
        <c:axId val="18125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62922607"/>
        <c:crosses val="autoZero"/>
        <c:auto val="1"/>
        <c:lblAlgn val="ctr"/>
        <c:lblOffset val="100"/>
        <c:noMultiLvlLbl val="0"/>
      </c:catAx>
      <c:valAx>
        <c:axId val="26292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Applicant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Distribution'!$A$5:$A$11</c:f>
              <c:strCache>
                <c:ptCount val="6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</c:strCache>
            </c:strRef>
          </c:cat>
          <c:val>
            <c:numRef>
              <c:f>'Data Distribution'!$B$5:$B$11</c:f>
              <c:numCache>
                <c:formatCode>General</c:formatCode>
                <c:ptCount val="6"/>
                <c:pt idx="0">
                  <c:v>57</c:v>
                </c:pt>
                <c:pt idx="1">
                  <c:v>44</c:v>
                </c:pt>
                <c:pt idx="2">
                  <c:v>54</c:v>
                </c:pt>
                <c:pt idx="3">
                  <c:v>51</c:v>
                </c:pt>
                <c:pt idx="4">
                  <c:v>60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6-479A-BDE0-611033721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992127"/>
        <c:axId val="1856735951"/>
      </c:barChart>
      <c:catAx>
        <c:axId val="201199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35951"/>
        <c:crosses val="autoZero"/>
        <c:auto val="1"/>
        <c:lblAlgn val="ctr"/>
        <c:lblOffset val="100"/>
        <c:noMultiLvlLbl val="0"/>
      </c:catAx>
      <c:valAx>
        <c:axId val="18567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9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Applicant</a:t>
            </a:r>
            <a:r>
              <a:rPr lang="en-US" b="1" baseline="0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Martial Status</a:t>
            </a:r>
            <a:endParaRPr lang="en-US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Distribution'!$B$13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Distribution'!$A$14:$A$18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Widowed</c:v>
                </c:pt>
              </c:strCache>
            </c:strRef>
          </c:cat>
          <c:val>
            <c:numRef>
              <c:f>'Data Distribution'!$B$14:$B$18</c:f>
              <c:numCache>
                <c:formatCode>General</c:formatCode>
                <c:ptCount val="4"/>
                <c:pt idx="0">
                  <c:v>75</c:v>
                </c:pt>
                <c:pt idx="1">
                  <c:v>73</c:v>
                </c:pt>
                <c:pt idx="2">
                  <c:v>82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F-4EDC-8FDA-F4C769B4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5932271"/>
        <c:axId val="1650300271"/>
      </c:barChart>
      <c:catAx>
        <c:axId val="205593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00271"/>
        <c:crosses val="autoZero"/>
        <c:auto val="1"/>
        <c:lblAlgn val="ctr"/>
        <c:lblOffset val="100"/>
        <c:noMultiLvlLbl val="0"/>
      </c:catAx>
      <c:valAx>
        <c:axId val="165030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3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Applicants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6.9842079908138316E-2"/>
              <c:y val="-5.6555313805916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8.6604179086091637E-2"/>
              <c:y val="-5.1842370988756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9B-4D88-894C-8732735CDEB6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9B-4D88-894C-8732735CDEB6}"/>
              </c:ext>
            </c:extLst>
          </c:dPt>
          <c:dLbls>
            <c:dLbl>
              <c:idx val="0"/>
              <c:layout>
                <c:manualLayout>
                  <c:x val="6.9842079908138316E-2"/>
                  <c:y val="-5.655531380591655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9B-4D88-894C-8732735CDEB6}"/>
                </c:ext>
              </c:extLst>
            </c:dLbl>
            <c:dLbl>
              <c:idx val="1"/>
              <c:layout>
                <c:manualLayout>
                  <c:x val="-8.6604179086091637E-2"/>
                  <c:y val="-5.18423709887568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9B-4D88-894C-8732735CD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'Data Distribution'!$B$21:$B$23</c:f>
              <c:numCache>
                <c:formatCode>General</c:formatCode>
                <c:ptCount val="2"/>
                <c:pt idx="0">
                  <c:v>175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9B-4D88-894C-8732735CDEB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[insurance_policy_dataWIP.csv.xlsx]Data Distribution!PivotTable3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FICO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solidFill>
              <a:srgbClr val="BCC511"/>
            </a:solidFill>
          </a:ln>
          <a:effectLst/>
          <a:sp3d>
            <a:contourClr>
              <a:srgbClr val="BCC511"/>
            </a:contourClr>
          </a:sp3d>
        </c:spPr>
        <c:dLbl>
          <c:idx val="0"/>
          <c:layout>
            <c:manualLayout>
              <c:x val="0"/>
              <c:y val="-2.819249676120264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C00000"/>
            </a:solidFill>
          </a:ln>
          <a:effectLst/>
          <a:sp3d>
            <a:contourClr>
              <a:srgbClr val="C00000"/>
            </a:contourClr>
          </a:sp3d>
        </c:spPr>
        <c:dLbl>
          <c:idx val="0"/>
          <c:layout>
            <c:manualLayout>
              <c:x val="-2.5362980983957372E-17"/>
              <c:y val="-2.82014726430082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  <a:sp3d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4.72004224648370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FC20"/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2.341657965047916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"/>
              <c:y val="-3.789093705214089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2.8192496761202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-2.5362980983957372E-17"/>
              <c:y val="-2.82014726430082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-2.7669026159212371E-3"/>
              <c:y val="-3.29512100984654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8.3007078477637108E-3"/>
              <c:y val="-2.816631710593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8.3007078477636102E-3"/>
              <c:y val="-1.41422497748549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Distribution'!$K$9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p3d>
              <a:contourClr>
                <a:schemeClr val="accent3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5E6-406E-BE31-60261CAC263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5E6-406E-BE31-60261CAC263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5E6-406E-BE31-60261CAC263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5E6-406E-BE31-60261CAC263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5E6-406E-BE31-60261CAC2636}"/>
              </c:ext>
            </c:extLst>
          </c:dPt>
          <c:dLbls>
            <c:dLbl>
              <c:idx val="0"/>
              <c:layout>
                <c:manualLayout>
                  <c:x val="-2.5362980983957372E-17"/>
                  <c:y val="-2.8201472643008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E6-406E-BE31-60261CAC2636}"/>
                </c:ext>
              </c:extLst>
            </c:dLbl>
            <c:dLbl>
              <c:idx val="1"/>
              <c:layout>
                <c:manualLayout>
                  <c:x val="-2.7669026159212371E-3"/>
                  <c:y val="-3.2951210098465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6-406E-BE31-60261CAC2636}"/>
                </c:ext>
              </c:extLst>
            </c:dLbl>
            <c:dLbl>
              <c:idx val="2"/>
              <c:layout>
                <c:manualLayout>
                  <c:x val="0"/>
                  <c:y val="-2.8192496761202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E6-406E-BE31-60261CAC2636}"/>
                </c:ext>
              </c:extLst>
            </c:dLbl>
            <c:dLbl>
              <c:idx val="3"/>
              <c:layout>
                <c:manualLayout>
                  <c:x val="8.3007078477637108E-3"/>
                  <c:y val="-2.816631710593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E6-406E-BE31-60261CAC2636}"/>
                </c:ext>
              </c:extLst>
            </c:dLbl>
            <c:dLbl>
              <c:idx val="4"/>
              <c:layout>
                <c:manualLayout>
                  <c:x val="8.3007078477636102E-3"/>
                  <c:y val="-1.4142249774854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E6-406E-BE31-60261CAC2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Distribution'!$J$10:$J$15</c:f>
              <c:strCache>
                <c:ptCount val="5"/>
                <c:pt idx="0">
                  <c:v>300-409</c:v>
                </c:pt>
                <c:pt idx="1">
                  <c:v>410-519</c:v>
                </c:pt>
                <c:pt idx="2">
                  <c:v>520-629</c:v>
                </c:pt>
                <c:pt idx="3">
                  <c:v>630-739</c:v>
                </c:pt>
                <c:pt idx="4">
                  <c:v>740-850</c:v>
                </c:pt>
              </c:strCache>
            </c:strRef>
          </c:cat>
          <c:val>
            <c:numRef>
              <c:f>'Data Distribution'!$K$10:$K$15</c:f>
              <c:numCache>
                <c:formatCode>General</c:formatCode>
                <c:ptCount val="5"/>
                <c:pt idx="0">
                  <c:v>67</c:v>
                </c:pt>
                <c:pt idx="1">
                  <c:v>67</c:v>
                </c:pt>
                <c:pt idx="2">
                  <c:v>68</c:v>
                </c:pt>
                <c:pt idx="3">
                  <c:v>71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5-42D3-969B-EDD12D7E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402543"/>
        <c:axId val="1856694191"/>
        <c:axId val="0"/>
      </c:bar3DChart>
      <c:catAx>
        <c:axId val="20314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94191"/>
        <c:crosses val="autoZero"/>
        <c:auto val="1"/>
        <c:lblAlgn val="ctr"/>
        <c:lblOffset val="100"/>
        <c:noMultiLvlLbl val="0"/>
      </c:catAx>
      <c:valAx>
        <c:axId val="18566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0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304800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37698-4ED3-4027-9797-C323E8F90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15240</xdr:rowOff>
    </xdr:from>
    <xdr:to>
      <xdr:col>7</xdr:col>
      <xdr:colOff>304800</xdr:colOff>
      <xdr:row>34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2AF561-5299-47A9-859E-592E3CDB7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281138</xdr:colOff>
      <xdr:row>3</xdr:row>
      <xdr:rowOff>160020</xdr:rowOff>
    </xdr:from>
    <xdr:to>
      <xdr:col>14</xdr:col>
      <xdr:colOff>587943</xdr:colOff>
      <xdr:row>18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5A207-9C66-48B1-99DD-51012497B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300788</xdr:colOff>
      <xdr:row>19</xdr:row>
      <xdr:rowOff>30080</xdr:rowOff>
    </xdr:from>
    <xdr:to>
      <xdr:col>14</xdr:col>
      <xdr:colOff>591551</xdr:colOff>
      <xdr:row>34</xdr:row>
      <xdr:rowOff>66175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3D200D-83CD-407A-8007-F6E13717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38100</xdr:rowOff>
    </xdr:from>
    <xdr:to>
      <xdr:col>7</xdr:col>
      <xdr:colOff>533400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97B27-2A02-4D15-95DB-D6E089C20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4</xdr:row>
      <xdr:rowOff>38100</xdr:rowOff>
    </xdr:from>
    <xdr:to>
      <xdr:col>15</xdr:col>
      <xdr:colOff>220980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217791-77BF-41F8-BD66-1F61E251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167640</xdr:colOff>
      <xdr:row>19</xdr:row>
      <xdr:rowOff>45720</xdr:rowOff>
    </xdr:from>
    <xdr:to>
      <xdr:col>11</xdr:col>
      <xdr:colOff>472440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0185CE-8FFA-4EF7-9F6C-2F96EDEC5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282466</xdr:colOff>
      <xdr:row>18</xdr:row>
      <xdr:rowOff>71702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EE98B-CABF-45B0-B163-712C31098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292274</xdr:colOff>
      <xdr:row>18</xdr:row>
      <xdr:rowOff>83508</xdr:rowOff>
    </xdr:from>
    <xdr:to>
      <xdr:col>14</xdr:col>
      <xdr:colOff>597074</xdr:colOff>
      <xdr:row>33</xdr:row>
      <xdr:rowOff>83507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5A8A25-8E36-45ED-86C1-7C04F3C71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83507</xdr:rowOff>
    </xdr:from>
    <xdr:to>
      <xdr:col>7</xdr:col>
      <xdr:colOff>292274</xdr:colOff>
      <xdr:row>33</xdr:row>
      <xdr:rowOff>29227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695BCB-0340-46EA-83C0-844B0CAE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271397</xdr:colOff>
      <xdr:row>3</xdr:row>
      <xdr:rowOff>167014</xdr:rowOff>
    </xdr:from>
    <xdr:to>
      <xdr:col>15</xdr:col>
      <xdr:colOff>0</xdr:colOff>
      <xdr:row>18</xdr:row>
      <xdr:rowOff>91858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FF74BF-E2B1-4E0A-BC74-D8654A11F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59.041771296295" createdVersion="8" refreshedVersion="8" minRefreshableVersion="3" recordCount="318" xr:uid="{3F2F62F8-3B99-4869-9BF2-09F9C27F327B}">
  <cacheSource type="worksheet">
    <worksheetSource ref="A1:Q319" sheet="insurance_policy_data"/>
  </cacheSource>
  <cacheFields count="17">
    <cacheField name="Policy_ID" numFmtId="0">
      <sharedItems count="315">
        <s v="AUTO-1002"/>
        <s v="AUTO-1003"/>
        <s v="AUTO-1004"/>
        <s v="AUTO-1007"/>
        <s v="AUTO-1008"/>
        <s v="AUTO-1009"/>
        <s v="AUTO-1010"/>
        <s v="AUTO-1011"/>
        <s v="AUTO-1013"/>
        <s v="AUTO-1014"/>
        <s v="AUTO-1015"/>
        <s v="AUTO-1016"/>
        <s v="AUTO-1017"/>
        <s v="AUTO-1018"/>
        <s v="AUTO-1019"/>
        <s v="AUTO-1020"/>
        <s v="AUTO-1021"/>
        <s v="AUTO-1022"/>
        <s v="AUTO-1023"/>
        <s v="AUTO-1024"/>
        <s v="AUTO-1025"/>
        <s v="AUTO-1027"/>
        <s v="AUTO-1028"/>
        <s v="AUTO-1029"/>
        <s v="AUTO-1030"/>
        <s v="AUTO-1031"/>
        <s v="AUTO-1032"/>
        <s v="AUTO-1034"/>
        <s v="AUTO-1035"/>
        <s v="AUTO-1036"/>
        <s v="AUTO-1037"/>
        <s v="AUTO-1039"/>
        <s v="AUTO-1040"/>
        <s v="AUTO-1042"/>
        <s v="AUTO-1043"/>
        <s v="AUTO-1044"/>
        <s v="AUTO-1045"/>
        <s v="AUTO-1046"/>
        <s v="AUTO-1047"/>
        <s v="AUTO-1048"/>
        <s v="AUTO-1050"/>
        <s v="AUTO-1051"/>
        <s v="AUTO-1052"/>
        <s v="AUTO-1054"/>
        <s v="AUTO-1055"/>
        <s v="AUTO-1056"/>
        <s v="AUTO-1057"/>
        <s v="AUTO-1058"/>
        <s v="AUTO-1060"/>
        <s v="AUTO-1061"/>
        <s v="AUTO-1062"/>
        <s v="AUTO-1063"/>
        <s v="AUTO-1064"/>
        <s v="AUTO-1065"/>
        <s v="AUTO-1066"/>
        <s v="AUTO-1067"/>
        <s v="AUTO-1068"/>
        <s v="AUTO-1069"/>
        <s v="AUTO-1070"/>
        <s v="AUTO-1071"/>
        <s v="AUTO-1073"/>
        <s v="AUTO-1074"/>
        <s v="AUTO-1075"/>
        <s v="AUTO-1076"/>
        <s v="AUTO-1077"/>
        <s v="AUTO-1078"/>
        <s v="AUTO-1079"/>
        <s v="AUTO-1080"/>
        <s v="AUTO-1081"/>
        <s v="AUTO-1082"/>
        <s v="AUTO-1083"/>
        <s v="AUTO-1084"/>
        <s v="AUTO-1087"/>
        <s v="AUTO-1088"/>
        <s v="AUTO-1089"/>
        <s v="AUTO-1090"/>
        <s v="AUTO-1091"/>
        <s v="AUTO-1092"/>
        <s v="AUTO-1093"/>
        <s v="AUTO-1094"/>
        <s v="AUTO-1095"/>
        <s v="AUTO-1096"/>
        <s v="AUTO-1097"/>
        <s v="AUTO-1099"/>
        <s v="AUTO-1100"/>
        <s v="AUTO-1101"/>
        <s v="AUTO-1102"/>
        <s v="AUTO-1103"/>
        <s v="AUTO-1104"/>
        <s v="AUTO-1105"/>
        <s v="AUTO-1106"/>
        <s v="AUTO-1107"/>
        <s v="AUTO-1109"/>
        <s v="AUTO-1110"/>
        <s v="AUTO-1111"/>
        <s v="AUTO-1112"/>
        <s v="AUTO-1113"/>
        <s v="AUTO-1114"/>
        <s v="AUTO-1115"/>
        <s v="AUTO-1116"/>
        <s v="AUTO-1117"/>
        <s v="AUTO-1118"/>
        <s v="AUTO-1119"/>
        <s v="AUTO-1120"/>
        <s v="AUTO-1121"/>
        <s v="AUTO-1122"/>
        <s v="AUTO-1123"/>
        <s v="AUTO-1124"/>
        <s v="AUTO-1125"/>
        <s v="AUTO-1126"/>
        <s v="AUTO-1127"/>
        <s v="AUTO-1128"/>
        <s v="AUTO-1129"/>
        <s v="AUTO-1130"/>
        <s v="AUTO-1131"/>
        <s v="AUTO-1132"/>
        <s v="AUTO-1133"/>
        <s v="AUTO-1134"/>
        <s v="AUTO-1136"/>
        <s v="AUTO-1137"/>
        <s v="AUTO-1138"/>
        <s v="AUTO-1139"/>
        <s v="AUTO-1141"/>
        <s v="AUTO-1142"/>
        <s v="AUTO-1143"/>
        <s v="AUTO-1144"/>
        <s v="AUTO-1145"/>
        <s v="AUTO-1147"/>
        <s v="AUTO-1148"/>
        <s v="AUTO-1149"/>
        <s v="AUTO-1150"/>
        <s v="AUTO-1151"/>
        <s v="AUTO-1152"/>
        <s v="AUTO-1153"/>
        <s v="AUTO-1156"/>
        <s v="AUTO-1157"/>
        <s v="AUTO-1158"/>
        <s v="AUTO-1159"/>
        <s v="AUTO-1160"/>
        <s v="AUTO-1161"/>
        <s v="AUTO-1162"/>
        <s v="AUTO-1163"/>
        <s v="AUTO-1164"/>
        <s v="AUTO-1165"/>
        <s v="AUTO-1166"/>
        <s v="AUTO-1167"/>
        <s v="AUTO-1168"/>
        <s v="AUTO-1169"/>
        <s v="AUTO-1170"/>
        <s v="AUTO-1171"/>
        <s v="AUTO-1172"/>
        <s v="AUTO-1173"/>
        <s v="AUTO-1174"/>
        <s v="AUTO-1175"/>
        <s v="AUTO-1176"/>
        <s v="AUTO-1177"/>
        <s v="AUTO-1179"/>
        <s v="AUTO-1180"/>
        <s v="AUTO-1181"/>
        <s v="AUTO-1182"/>
        <s v="AUTO-1183"/>
        <s v="AUTO-1184"/>
        <s v="AUTO-1185"/>
        <s v="AUTO-1186"/>
        <s v="AUTO-1187"/>
        <s v="AUTO-1188"/>
        <s v="AUTO-1189"/>
        <s v="AUTO-1190"/>
        <s v="AUTO-1191"/>
        <s v="AUTO-1192"/>
        <s v="AUTO-1193"/>
        <s v="AUTO-1194"/>
        <s v="AUTO-1196"/>
        <s v="AUTO-1197"/>
        <s v="AUTO-1198"/>
        <s v="AUTO-1199"/>
        <s v="AUTO-1200"/>
        <s v="AUTO-1201"/>
        <s v="AUTO-1202"/>
        <s v="AUTO-1203"/>
        <s v="AUTO-1205"/>
        <s v="AUTO-1206"/>
        <s v="AUTO-1207"/>
        <s v="AUTO-1208"/>
        <s v="AUTO-1209"/>
        <s v="AUTO-1210"/>
        <s v="AUTO-1211"/>
        <s v="AUTO-1213"/>
        <s v="AUTO-1214"/>
        <s v="AUTO-1215"/>
        <s v="AUTO-1216"/>
        <s v="AUTO-1218"/>
        <s v="AUTO-1219"/>
        <s v="AUTO-1220"/>
        <s v="AUTO-1222"/>
        <s v="AUTO-1223"/>
        <s v="AUTO-1224"/>
        <s v="AUTO-1225"/>
        <s v="AUTO-1226"/>
        <s v="AUTO-1227"/>
        <s v="AUTO-1228"/>
        <s v="AUTO-1229"/>
        <s v="AUTO-1230"/>
        <s v="AUTO-1231"/>
        <s v="AUTO-1232"/>
        <s v="AUTO-1233"/>
        <s v="AUTO-1234"/>
        <s v="AUTO-1235"/>
        <s v="AUTO-1236"/>
        <s v="AUTO-1237"/>
        <s v="AUTO-1238"/>
        <s v="AUTO-1239"/>
        <s v="AUTO-1240"/>
        <s v="AUTO-1242"/>
        <s v="AUTO-1243"/>
        <s v="AUTO-1244"/>
        <s v="AUTO-1245"/>
        <s v="AUTO-1246"/>
        <s v="AUTO-1247"/>
        <s v="AUTO-1248"/>
        <s v="AUTO-1249"/>
        <s v="AUTO-1250"/>
        <s v="AUTO-1251"/>
        <s v="AUTO-1253"/>
        <s v="AUTO-1254"/>
        <s v="AUTO-1255"/>
        <s v="AUTO-1256"/>
        <s v="AUTO-1257"/>
        <s v="AUTO-1258"/>
        <s v="AUTO-1259"/>
        <s v="AUTO-1260"/>
        <s v="AUTO-1261"/>
        <s v="AUTO-1262"/>
        <s v="AUTO-1263"/>
        <s v="AUTO-1264"/>
        <s v="AUTO-1266"/>
        <s v="AUTO-1267"/>
        <s v="AUTO-1269"/>
        <s v="AUTO-1270"/>
        <s v="AUTO-1271"/>
        <s v="AUTO-1272"/>
        <s v="AUTO-1273"/>
        <s v="AUTO-1274"/>
        <s v="AUTO-1275"/>
        <s v="AUTO-1276"/>
        <s v="AUTO-1277"/>
        <s v="AUTO-1278"/>
        <s v="AUTO-1279"/>
        <s v="AUTO-1280"/>
        <s v="AUTO-1281"/>
        <s v="AUTO-1282"/>
        <s v="AUTO-1283"/>
        <s v="AUTO-1284"/>
        <s v="AUTO-1285"/>
        <s v="AUTO-1286"/>
        <s v="AUTO-1287"/>
        <s v="AUTO-1289"/>
        <s v="AUTO-1290"/>
        <s v="AUTO-1291"/>
        <s v="AUTO-1292"/>
        <s v="AUTO-1293"/>
        <s v="AUTO-1294"/>
        <s v="AUTO-1295"/>
        <s v="AUTO-1296"/>
        <s v="AUTO-1297"/>
        <s v="AUTO-1298"/>
        <s v="AUTO-1299"/>
        <s v="AUTO-1300"/>
        <s v="AUTO-1301"/>
        <s v="AUTO-1302"/>
        <s v="AUTO-1303"/>
        <s v="AUTO-1304"/>
        <s v="AUTO-1305"/>
        <s v="AUTO-1307"/>
        <s v="AUTO-1308"/>
        <s v="AUTO-1309"/>
        <s v="AUTO-1310"/>
        <s v="AUTO-1311"/>
        <s v="AUTO-1312"/>
        <s v="AUTO-1313"/>
        <s v="AUTO-1314"/>
        <s v="AUTO-1315"/>
        <s v="AUTO-1316"/>
        <s v="AUTO-1318"/>
        <s v="AUTO-1319"/>
        <s v="AUTO-1320"/>
        <s v="AUTO-1321"/>
        <s v="AUTO-1322"/>
        <s v="AUTO-1323"/>
        <s v="AUTO-1324"/>
        <s v="AUTO-1325"/>
        <s v="AUTO-1326"/>
        <s v="AUTO-1327"/>
        <s v="AUTO-1328"/>
        <s v="AUTO-1329"/>
        <s v="AUTO-1330"/>
        <s v="AUTO-1331"/>
        <s v="AUTO-1332"/>
        <s v="AUTO-1333"/>
        <s v="AUTO-1334"/>
        <s v="AUTO-1335"/>
        <s v="AUTO-1336"/>
        <s v="AUTO-1337"/>
        <s v="AUTO-1338"/>
        <s v="AUTO-1339"/>
        <s v="AUTO-1340"/>
        <s v="AUTO-1341"/>
        <s v="AUTO-1342"/>
        <s v="AUTO-1343"/>
        <s v="AUTO-1344"/>
        <s v="AUTO-1345"/>
        <s v="AUTO-1346"/>
        <s v="AUTO-1347"/>
        <s v="AUTO-1348"/>
        <s v="AUTO-1349"/>
      </sharedItems>
    </cacheField>
    <cacheField name="Applicant_Age" numFmtId="0">
      <sharedItems containsSemiMixedTypes="0" containsString="0" containsNumber="1" containsInteger="1" minValue="18" maxValue="75" count="58">
        <n v="23"/>
        <n v="66"/>
        <n v="64"/>
        <n v="35"/>
        <n v="52"/>
        <n v="56"/>
        <n v="45"/>
        <n v="19"/>
        <n v="60"/>
        <n v="40"/>
        <n v="46"/>
        <n v="55"/>
        <n v="47"/>
        <n v="74"/>
        <n v="75"/>
        <n v="29"/>
        <n v="70"/>
        <n v="25"/>
        <n v="38"/>
        <n v="50"/>
        <n v="20"/>
        <n v="53"/>
        <n v="27"/>
        <n v="42"/>
        <n v="62"/>
        <n v="59"/>
        <n v="69"/>
        <n v="18"/>
        <n v="32"/>
        <n v="34"/>
        <n v="73"/>
        <n v="33"/>
        <n v="65"/>
        <n v="37"/>
        <n v="71"/>
        <n v="68"/>
        <n v="39"/>
        <n v="44"/>
        <n v="58"/>
        <n v="36"/>
        <n v="41"/>
        <n v="26"/>
        <n v="72"/>
        <n v="31"/>
        <n v="21"/>
        <n v="43"/>
        <n v="67"/>
        <n v="22"/>
        <n v="51"/>
        <n v="49"/>
        <n v="61"/>
        <n v="63"/>
        <n v="54"/>
        <n v="48"/>
        <n v="28"/>
        <n v="57"/>
        <n v="24"/>
        <n v="30"/>
      </sharedItems>
      <fieldGroup base="1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 count="2">
        <s v="M"/>
        <s v="F"/>
      </sharedItems>
    </cacheField>
    <cacheField name="Marital_Status" numFmtId="0">
      <sharedItems count="4">
        <s v="Married"/>
        <s v="Widowed"/>
        <s v="Single"/>
        <s v="Divorced"/>
      </sharedItems>
    </cacheField>
    <cacheField name="Vehicle_Year" numFmtId="0">
      <sharedItems containsSemiMixedTypes="0" containsString="0" containsNumber="1" containsInteger="1" minValue="2000" maxValue="2024" count="25">
        <n v="2016"/>
        <n v="2010"/>
        <n v="2012"/>
        <n v="2018"/>
        <n v="2000"/>
        <n v="2019"/>
        <n v="2022"/>
        <n v="2017"/>
        <n v="2014"/>
        <n v="2005"/>
        <n v="2013"/>
        <n v="2004"/>
        <n v="2001"/>
        <n v="2009"/>
        <n v="2003"/>
        <n v="2020"/>
        <n v="2006"/>
        <n v="2008"/>
        <n v="2023"/>
        <n v="2021"/>
        <n v="2007"/>
        <n v="2024"/>
        <n v="2002"/>
        <n v="2015"/>
        <n v="2011"/>
      </sharedItems>
      <fieldGroup base="4">
        <rangePr startNum="2000" endNum="2024" groupInterval="5"/>
        <groupItems count="7">
          <s v="&lt;2000"/>
          <s v="2000-2004"/>
          <s v="2005-2009"/>
          <s v="2010-2014"/>
          <s v="2015-2019"/>
          <s v="2020-2024"/>
          <s v="&gt;2025"/>
        </groupItems>
      </fieldGroup>
    </cacheField>
    <cacheField name="Vehicle_Make" numFmtId="0">
      <sharedItems/>
    </cacheField>
    <cacheField name="Vehicle_Model" numFmtId="0">
      <sharedItems/>
    </cacheField>
    <cacheField name="Annual_Mileage" numFmtId="0">
      <sharedItems containsSemiMixedTypes="0" containsString="0" containsNumber="1" containsInteger="1" minValue="3240" maxValue="24970"/>
    </cacheField>
    <cacheField name="Years_Driving_Exp" numFmtId="0">
      <sharedItems containsSemiMixedTypes="0" containsString="0" containsNumber="1" containsInteger="1" minValue="0" maxValue="59"/>
    </cacheField>
    <cacheField name="At_Fault_Accidents_5yr" numFmtId="0">
      <sharedItems containsSemiMixedTypes="0" containsString="0" containsNumber="1" containsInteger="1" minValue="0" maxValue="2"/>
    </cacheField>
    <cacheField name="Speeding_Tickets_3yr" numFmtId="0">
      <sharedItems containsSemiMixedTypes="0" containsString="0" containsNumber="1" containsInteger="1" minValue="0" maxValue="3"/>
    </cacheField>
    <cacheField name="DUI" numFmtId="0">
      <sharedItems/>
    </cacheField>
    <cacheField name="Credit_Score" numFmtId="0">
      <sharedItems containsSemiMixedTypes="0" containsString="0" containsNumber="1" containsInteger="1" minValue="302" maxValue="849"/>
    </cacheField>
    <cacheField name="Coverage_Type" numFmtId="0">
      <sharedItems/>
    </cacheField>
    <cacheField name="Prior_Insurance_Carrier" numFmtId="0">
      <sharedItems/>
    </cacheField>
    <cacheField name="Claim_Amount_Last_Year" numFmtId="0">
      <sharedItems containsSemiMixedTypes="0" containsString="0" containsNumber="1" containsInteger="1" minValue="0" maxValue="15000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60.790391666669" createdVersion="8" refreshedVersion="8" minRefreshableVersion="3" recordCount="318" xr:uid="{AA85FF57-87E9-4186-A427-82972A193DBA}">
  <cacheSource type="worksheet">
    <worksheetSource name="Table4"/>
  </cacheSource>
  <cacheFields count="18">
    <cacheField name="Policy_ID" numFmtId="0">
      <sharedItems count="315">
        <s v="AUTO-1002"/>
        <s v="AUTO-1003"/>
        <s v="AUTO-1004"/>
        <s v="AUTO-1007"/>
        <s v="AUTO-1008"/>
        <s v="AUTO-1009"/>
        <s v="AUTO-1010"/>
        <s v="AUTO-1011"/>
        <s v="AUTO-1013"/>
        <s v="AUTO-1014"/>
        <s v="AUTO-1015"/>
        <s v="AUTO-1016"/>
        <s v="AUTO-1017"/>
        <s v="AUTO-1018"/>
        <s v="AUTO-1019"/>
        <s v="AUTO-1020"/>
        <s v="AUTO-1021"/>
        <s v="AUTO-1022"/>
        <s v="AUTO-1023"/>
        <s v="AUTO-1024"/>
        <s v="AUTO-1025"/>
        <s v="AUTO-1027"/>
        <s v="AUTO-1028"/>
        <s v="AUTO-1029"/>
        <s v="AUTO-1030"/>
        <s v="AUTO-1031"/>
        <s v="AUTO-1032"/>
        <s v="AUTO-1034"/>
        <s v="AUTO-1035"/>
        <s v="AUTO-1036"/>
        <s v="AUTO-1037"/>
        <s v="AUTO-1039"/>
        <s v="AUTO-1040"/>
        <s v="AUTO-1042"/>
        <s v="AUTO-1043"/>
        <s v="AUTO-1044"/>
        <s v="AUTO-1045"/>
        <s v="AUTO-1046"/>
        <s v="AUTO-1047"/>
        <s v="AUTO-1048"/>
        <s v="AUTO-1050"/>
        <s v="AUTO-1051"/>
        <s v="AUTO-1052"/>
        <s v="AUTO-1054"/>
        <s v="AUTO-1055"/>
        <s v="AUTO-1056"/>
        <s v="AUTO-1057"/>
        <s v="AUTO-1058"/>
        <s v="AUTO-1060"/>
        <s v="AUTO-1061"/>
        <s v="AUTO-1062"/>
        <s v="AUTO-1063"/>
        <s v="AUTO-1064"/>
        <s v="AUTO-1065"/>
        <s v="AUTO-1066"/>
        <s v="AUTO-1067"/>
        <s v="AUTO-1068"/>
        <s v="AUTO-1069"/>
        <s v="AUTO-1070"/>
        <s v="AUTO-1071"/>
        <s v="AUTO-1073"/>
        <s v="AUTO-1074"/>
        <s v="AUTO-1075"/>
        <s v="AUTO-1076"/>
        <s v="AUTO-1077"/>
        <s v="AUTO-1078"/>
        <s v="AUTO-1079"/>
        <s v="AUTO-1080"/>
        <s v="AUTO-1081"/>
        <s v="AUTO-1082"/>
        <s v="AUTO-1083"/>
        <s v="AUTO-1084"/>
        <s v="AUTO-1087"/>
        <s v="AUTO-1088"/>
        <s v="AUTO-1089"/>
        <s v="AUTO-1090"/>
        <s v="AUTO-1091"/>
        <s v="AUTO-1092"/>
        <s v="AUTO-1093"/>
        <s v="AUTO-1094"/>
        <s v="AUTO-1095"/>
        <s v="AUTO-1096"/>
        <s v="AUTO-1097"/>
        <s v="AUTO-1099"/>
        <s v="AUTO-1100"/>
        <s v="AUTO-1101"/>
        <s v="AUTO-1102"/>
        <s v="AUTO-1103"/>
        <s v="AUTO-1104"/>
        <s v="AUTO-1105"/>
        <s v="AUTO-1106"/>
        <s v="AUTO-1107"/>
        <s v="AUTO-1109"/>
        <s v="AUTO-1110"/>
        <s v="AUTO-1111"/>
        <s v="AUTO-1112"/>
        <s v="AUTO-1113"/>
        <s v="AUTO-1114"/>
        <s v="AUTO-1115"/>
        <s v="AUTO-1116"/>
        <s v="AUTO-1117"/>
        <s v="AUTO-1118"/>
        <s v="AUTO-1119"/>
        <s v="AUTO-1120"/>
        <s v="AUTO-1121"/>
        <s v="AUTO-1122"/>
        <s v="AUTO-1123"/>
        <s v="AUTO-1124"/>
        <s v="AUTO-1125"/>
        <s v="AUTO-1126"/>
        <s v="AUTO-1127"/>
        <s v="AUTO-1128"/>
        <s v="AUTO-1129"/>
        <s v="AUTO-1130"/>
        <s v="AUTO-1131"/>
        <s v="AUTO-1132"/>
        <s v="AUTO-1133"/>
        <s v="AUTO-1134"/>
        <s v="AUTO-1136"/>
        <s v="AUTO-1137"/>
        <s v="AUTO-1138"/>
        <s v="AUTO-1139"/>
        <s v="AUTO-1141"/>
        <s v="AUTO-1142"/>
        <s v="AUTO-1143"/>
        <s v="AUTO-1144"/>
        <s v="AUTO-1145"/>
        <s v="AUTO-1147"/>
        <s v="AUTO-1148"/>
        <s v="AUTO-1149"/>
        <s v="AUTO-1150"/>
        <s v="AUTO-1151"/>
        <s v="AUTO-1152"/>
        <s v="AUTO-1153"/>
        <s v="AUTO-1156"/>
        <s v="AUTO-1157"/>
        <s v="AUTO-1158"/>
        <s v="AUTO-1159"/>
        <s v="AUTO-1160"/>
        <s v="AUTO-1161"/>
        <s v="AUTO-1162"/>
        <s v="AUTO-1163"/>
        <s v="AUTO-1164"/>
        <s v="AUTO-1165"/>
        <s v="AUTO-1166"/>
        <s v="AUTO-1167"/>
        <s v="AUTO-1168"/>
        <s v="AUTO-1169"/>
        <s v="AUTO-1170"/>
        <s v="AUTO-1171"/>
        <s v="AUTO-1172"/>
        <s v="AUTO-1173"/>
        <s v="AUTO-1174"/>
        <s v="AUTO-1175"/>
        <s v="AUTO-1176"/>
        <s v="AUTO-1177"/>
        <s v="AUTO-1179"/>
        <s v="AUTO-1180"/>
        <s v="AUTO-1181"/>
        <s v="AUTO-1182"/>
        <s v="AUTO-1183"/>
        <s v="AUTO-1184"/>
        <s v="AUTO-1185"/>
        <s v="AUTO-1186"/>
        <s v="AUTO-1187"/>
        <s v="AUTO-1188"/>
        <s v="AUTO-1189"/>
        <s v="AUTO-1190"/>
        <s v="AUTO-1191"/>
        <s v="AUTO-1192"/>
        <s v="AUTO-1193"/>
        <s v="AUTO-1194"/>
        <s v="AUTO-1196"/>
        <s v="AUTO-1197"/>
        <s v="AUTO-1198"/>
        <s v="AUTO-1199"/>
        <s v="AUTO-1200"/>
        <s v="AUTO-1201"/>
        <s v="AUTO-1202"/>
        <s v="AUTO-1203"/>
        <s v="AUTO-1205"/>
        <s v="AUTO-1206"/>
        <s v="AUTO-1207"/>
        <s v="AUTO-1208"/>
        <s v="AUTO-1209"/>
        <s v="AUTO-1210"/>
        <s v="AUTO-1211"/>
        <s v="AUTO-1213"/>
        <s v="AUTO-1214"/>
        <s v="AUTO-1215"/>
        <s v="AUTO-1216"/>
        <s v="AUTO-1218"/>
        <s v="AUTO-1219"/>
        <s v="AUTO-1220"/>
        <s v="AUTO-1222"/>
        <s v="AUTO-1223"/>
        <s v="AUTO-1224"/>
        <s v="AUTO-1225"/>
        <s v="AUTO-1226"/>
        <s v="AUTO-1227"/>
        <s v="AUTO-1228"/>
        <s v="AUTO-1229"/>
        <s v="AUTO-1230"/>
        <s v="AUTO-1231"/>
        <s v="AUTO-1232"/>
        <s v="AUTO-1233"/>
        <s v="AUTO-1234"/>
        <s v="AUTO-1235"/>
        <s v="AUTO-1236"/>
        <s v="AUTO-1237"/>
        <s v="AUTO-1238"/>
        <s v="AUTO-1239"/>
        <s v="AUTO-1240"/>
        <s v="AUTO-1242"/>
        <s v="AUTO-1243"/>
        <s v="AUTO-1244"/>
        <s v="AUTO-1245"/>
        <s v="AUTO-1246"/>
        <s v="AUTO-1247"/>
        <s v="AUTO-1248"/>
        <s v="AUTO-1249"/>
        <s v="AUTO-1250"/>
        <s v="AUTO-1251"/>
        <s v="AUTO-1253"/>
        <s v="AUTO-1254"/>
        <s v="AUTO-1255"/>
        <s v="AUTO-1256"/>
        <s v="AUTO-1257"/>
        <s v="AUTO-1258"/>
        <s v="AUTO-1259"/>
        <s v="AUTO-1260"/>
        <s v="AUTO-1261"/>
        <s v="AUTO-1262"/>
        <s v="AUTO-1263"/>
        <s v="AUTO-1264"/>
        <s v="AUTO-1266"/>
        <s v="AUTO-1267"/>
        <s v="AUTO-1269"/>
        <s v="AUTO-1270"/>
        <s v="AUTO-1271"/>
        <s v="AUTO-1272"/>
        <s v="AUTO-1273"/>
        <s v="AUTO-1274"/>
        <s v="AUTO-1275"/>
        <s v="AUTO-1276"/>
        <s v="AUTO-1277"/>
        <s v="AUTO-1278"/>
        <s v="AUTO-1279"/>
        <s v="AUTO-1280"/>
        <s v="AUTO-1281"/>
        <s v="AUTO-1282"/>
        <s v="AUTO-1283"/>
        <s v="AUTO-1284"/>
        <s v="AUTO-1285"/>
        <s v="AUTO-1286"/>
        <s v="AUTO-1287"/>
        <s v="AUTO-1289"/>
        <s v="AUTO-1290"/>
        <s v="AUTO-1291"/>
        <s v="AUTO-1292"/>
        <s v="AUTO-1293"/>
        <s v="AUTO-1294"/>
        <s v="AUTO-1295"/>
        <s v="AUTO-1296"/>
        <s v="AUTO-1297"/>
        <s v="AUTO-1298"/>
        <s v="AUTO-1299"/>
        <s v="AUTO-1300"/>
        <s v="AUTO-1301"/>
        <s v="AUTO-1302"/>
        <s v="AUTO-1303"/>
        <s v="AUTO-1304"/>
        <s v="AUTO-1305"/>
        <s v="AUTO-1307"/>
        <s v="AUTO-1308"/>
        <s v="AUTO-1309"/>
        <s v="AUTO-1310"/>
        <s v="AUTO-1311"/>
        <s v="AUTO-1312"/>
        <s v="AUTO-1313"/>
        <s v="AUTO-1314"/>
        <s v="AUTO-1315"/>
        <s v="AUTO-1316"/>
        <s v="AUTO-1318"/>
        <s v="AUTO-1319"/>
        <s v="AUTO-1320"/>
        <s v="AUTO-1321"/>
        <s v="AUTO-1322"/>
        <s v="AUTO-1323"/>
        <s v="AUTO-1324"/>
        <s v="AUTO-1325"/>
        <s v="AUTO-1326"/>
        <s v="AUTO-1327"/>
        <s v="AUTO-1328"/>
        <s v="AUTO-1329"/>
        <s v="AUTO-1330"/>
        <s v="AUTO-1331"/>
        <s v="AUTO-1332"/>
        <s v="AUTO-1333"/>
        <s v="AUTO-1334"/>
        <s v="AUTO-1335"/>
        <s v="AUTO-1336"/>
        <s v="AUTO-1337"/>
        <s v="AUTO-1338"/>
        <s v="AUTO-1339"/>
        <s v="AUTO-1340"/>
        <s v="AUTO-1341"/>
        <s v="AUTO-1342"/>
        <s v="AUTO-1343"/>
        <s v="AUTO-1344"/>
        <s v="AUTO-1345"/>
        <s v="AUTO-1346"/>
        <s v="AUTO-1347"/>
        <s v="AUTO-1348"/>
        <s v="AUTO-1349"/>
      </sharedItems>
    </cacheField>
    <cacheField name="Applicant_Age" numFmtId="0">
      <sharedItems containsSemiMixedTypes="0" containsString="0" containsNumber="1" containsInteger="1" minValue="18" maxValue="75" count="58">
        <n v="23"/>
        <n v="66"/>
        <n v="64"/>
        <n v="35"/>
        <n v="52"/>
        <n v="56"/>
        <n v="45"/>
        <n v="19"/>
        <n v="60"/>
        <n v="40"/>
        <n v="46"/>
        <n v="55"/>
        <n v="47"/>
        <n v="74"/>
        <n v="75"/>
        <n v="29"/>
        <n v="70"/>
        <n v="25"/>
        <n v="38"/>
        <n v="50"/>
        <n v="20"/>
        <n v="53"/>
        <n v="27"/>
        <n v="42"/>
        <n v="62"/>
        <n v="59"/>
        <n v="69"/>
        <n v="18"/>
        <n v="32"/>
        <n v="34"/>
        <n v="73"/>
        <n v="33"/>
        <n v="65"/>
        <n v="37"/>
        <n v="71"/>
        <n v="68"/>
        <n v="39"/>
        <n v="44"/>
        <n v="58"/>
        <n v="36"/>
        <n v="41"/>
        <n v="26"/>
        <n v="72"/>
        <n v="31"/>
        <n v="21"/>
        <n v="43"/>
        <n v="67"/>
        <n v="22"/>
        <n v="51"/>
        <n v="49"/>
        <n v="61"/>
        <n v="63"/>
        <n v="54"/>
        <n v="48"/>
        <n v="28"/>
        <n v="57"/>
        <n v="24"/>
        <n v="30"/>
      </sharedItems>
      <fieldGroup base="1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/>
    </cacheField>
    <cacheField name="Marital_Status" numFmtId="0">
      <sharedItems/>
    </cacheField>
    <cacheField name="Vehicle_Year" numFmtId="0">
      <sharedItems containsSemiMixedTypes="0" containsString="0" containsNumber="1" containsInteger="1" minValue="2000" maxValue="2024" count="25">
        <n v="2016"/>
        <n v="2010"/>
        <n v="2012"/>
        <n v="2018"/>
        <n v="2000"/>
        <n v="2019"/>
        <n v="2022"/>
        <n v="2017"/>
        <n v="2014"/>
        <n v="2005"/>
        <n v="2013"/>
        <n v="2004"/>
        <n v="2001"/>
        <n v="2009"/>
        <n v="2003"/>
        <n v="2020"/>
        <n v="2006"/>
        <n v="2008"/>
        <n v="2023"/>
        <n v="2021"/>
        <n v="2007"/>
        <n v="2024"/>
        <n v="2002"/>
        <n v="2015"/>
        <n v="2011"/>
      </sharedItems>
      <fieldGroup base="4">
        <rangePr startNum="2000" endNum="2024" groupInterval="5"/>
        <groupItems count="7">
          <s v="&lt;2000"/>
          <s v="2000-2004"/>
          <s v="2005-2009"/>
          <s v="2010-2014"/>
          <s v="2015-2019"/>
          <s v="2020-2024"/>
          <s v="&gt;2025"/>
        </groupItems>
      </fieldGroup>
    </cacheField>
    <cacheField name="Vehicle_Make" numFmtId="0">
      <sharedItems count="7">
        <s v="Jeep"/>
        <s v="Ford"/>
        <s v="Toyota"/>
        <s v="Chevrolet"/>
        <s v="Honda"/>
        <s v="Nissan"/>
        <s v="BMW"/>
      </sharedItems>
    </cacheField>
    <cacheField name="Vehicle_Model" numFmtId="0">
      <sharedItems/>
    </cacheField>
    <cacheField name="Annual_Mileage" numFmtId="0">
      <sharedItems containsSemiMixedTypes="0" containsString="0" containsNumber="1" containsInteger="1" minValue="3240" maxValue="24970" count="310">
        <n v="21390"/>
        <n v="10055"/>
        <n v="23599"/>
        <n v="24477"/>
        <n v="10186"/>
        <n v="20338"/>
        <n v="8854"/>
        <n v="3638"/>
        <n v="24295"/>
        <n v="5326"/>
        <n v="21711"/>
        <n v="24412"/>
        <n v="11185"/>
        <n v="10004"/>
        <n v="10133"/>
        <n v="9089"/>
        <n v="11544"/>
        <n v="21448"/>
        <n v="20800"/>
        <n v="11924"/>
        <n v="4444"/>
        <n v="14589"/>
        <n v="8216"/>
        <n v="13756"/>
        <n v="6552"/>
        <n v="17288"/>
        <n v="13134"/>
        <n v="19890"/>
        <n v="16580"/>
        <n v="19972"/>
        <n v="19540"/>
        <n v="10010"/>
        <n v="18629"/>
        <n v="18128"/>
        <n v="5683"/>
        <n v="7993"/>
        <n v="6542"/>
        <n v="22674"/>
        <n v="17205"/>
        <n v="22414"/>
        <n v="19009"/>
        <n v="18507"/>
        <n v="6917"/>
        <n v="3401"/>
        <n v="5427"/>
        <n v="20123"/>
        <n v="24640"/>
        <n v="12440"/>
        <n v="17344"/>
        <n v="4318"/>
        <n v="24958"/>
        <n v="19862"/>
        <n v="11750"/>
        <n v="10362"/>
        <n v="7739"/>
        <n v="12783"/>
        <n v="10825"/>
        <n v="19459"/>
        <n v="14093"/>
        <n v="5242"/>
        <n v="8736"/>
        <n v="3307"/>
        <n v="12899"/>
        <n v="3265"/>
        <n v="6183"/>
        <n v="20675"/>
        <n v="16022"/>
        <n v="15172"/>
        <n v="12902"/>
        <n v="24970"/>
        <n v="17528"/>
        <n v="24027"/>
        <n v="19817"/>
        <n v="6537"/>
        <n v="17867"/>
        <n v="16631"/>
        <n v="7263"/>
        <n v="12128"/>
        <n v="8944"/>
        <n v="15125"/>
        <n v="16894"/>
        <n v="20266"/>
        <n v="4386"/>
        <n v="23254"/>
        <n v="14125"/>
        <n v="11387"/>
        <n v="23552"/>
        <n v="4232"/>
        <n v="13535"/>
        <n v="17398"/>
        <n v="13803"/>
        <n v="14856"/>
        <n v="24690"/>
        <n v="10783"/>
        <n v="19905"/>
        <n v="4745"/>
        <n v="12400"/>
        <n v="6643"/>
        <n v="10927"/>
        <n v="20237"/>
        <n v="10901"/>
        <n v="8972"/>
        <n v="20794"/>
        <n v="14109"/>
        <n v="6361"/>
        <n v="14552"/>
        <n v="17358"/>
        <n v="5519"/>
        <n v="21404"/>
        <n v="17585"/>
        <n v="6976"/>
        <n v="19952"/>
        <n v="10388"/>
        <n v="22026"/>
        <n v="7284"/>
        <n v="15587"/>
        <n v="3759"/>
        <n v="20586"/>
        <n v="15228"/>
        <n v="20017"/>
        <n v="21445"/>
        <n v="24482"/>
        <n v="9251"/>
        <n v="22990"/>
        <n v="21366"/>
        <n v="11403"/>
        <n v="20401"/>
        <n v="24393"/>
        <n v="16693"/>
        <n v="24014"/>
        <n v="5035"/>
        <n v="7376"/>
        <n v="20219"/>
        <n v="8391"/>
        <n v="19818"/>
        <n v="16883"/>
        <n v="15533"/>
        <n v="3744"/>
        <n v="4055"/>
        <n v="17383"/>
        <n v="24633"/>
        <n v="13444"/>
        <n v="4888"/>
        <n v="20551"/>
        <n v="6844"/>
        <n v="19803"/>
        <n v="11545"/>
        <n v="14061"/>
        <n v="4924"/>
        <n v="15229"/>
        <n v="12002"/>
        <n v="14614"/>
        <n v="10528"/>
        <n v="9788"/>
        <n v="5569"/>
        <n v="23778"/>
        <n v="11075"/>
        <n v="14793"/>
        <n v="15623"/>
        <n v="12867"/>
        <n v="22457"/>
        <n v="17110"/>
        <n v="15322"/>
        <n v="12546"/>
        <n v="22593"/>
        <n v="8450"/>
        <n v="18173"/>
        <n v="13220"/>
        <n v="23635"/>
        <n v="12120"/>
        <n v="23031"/>
        <n v="6862"/>
        <n v="23824"/>
        <n v="7473"/>
        <n v="12571"/>
        <n v="20761"/>
        <n v="14495"/>
        <n v="12087"/>
        <n v="17810"/>
        <n v="23802"/>
        <n v="21551"/>
        <n v="9629"/>
        <n v="13010"/>
        <n v="7493"/>
        <n v="16490"/>
        <n v="11119"/>
        <n v="24173"/>
        <n v="12387"/>
        <n v="20576"/>
        <n v="22950"/>
        <n v="4816"/>
        <n v="4506"/>
        <n v="5552"/>
        <n v="5830"/>
        <n v="20909"/>
        <n v="9723"/>
        <n v="5782"/>
        <n v="15876"/>
        <n v="13290"/>
        <n v="22769"/>
        <n v="16251"/>
        <n v="9492"/>
        <n v="7014"/>
        <n v="9132"/>
        <n v="15550"/>
        <n v="14273"/>
        <n v="14712"/>
        <n v="14626"/>
        <n v="20764"/>
        <n v="22202"/>
        <n v="15398"/>
        <n v="19258"/>
        <n v="9870"/>
        <n v="15409"/>
        <n v="6431"/>
        <n v="24418"/>
        <n v="9542"/>
        <n v="24032"/>
        <n v="20547"/>
        <n v="8477"/>
        <n v="15717"/>
        <n v="7856"/>
        <n v="18911"/>
        <n v="10784"/>
        <n v="17519"/>
        <n v="5150"/>
        <n v="4656"/>
        <n v="17617"/>
        <n v="10022"/>
        <n v="11270"/>
        <n v="23991"/>
        <n v="3834"/>
        <n v="10282"/>
        <n v="22122"/>
        <n v="14228"/>
        <n v="17812"/>
        <n v="15560"/>
        <n v="7224"/>
        <n v="19062"/>
        <n v="15294"/>
        <n v="20933"/>
        <n v="16724"/>
        <n v="9608"/>
        <n v="5916"/>
        <n v="18213"/>
        <n v="14715"/>
        <n v="24261"/>
        <n v="23032"/>
        <n v="20197"/>
        <n v="7871"/>
        <n v="4649"/>
        <n v="19657"/>
        <n v="6736"/>
        <n v="11332"/>
        <n v="17762"/>
        <n v="21958"/>
        <n v="16037"/>
        <n v="14314"/>
        <n v="16840"/>
        <n v="5032"/>
        <n v="15699"/>
        <n v="9340"/>
        <n v="8273"/>
        <n v="19074"/>
        <n v="16219"/>
        <n v="24919"/>
        <n v="19852"/>
        <n v="3240"/>
        <n v="23650"/>
        <n v="19476"/>
        <n v="10204"/>
        <n v="21766"/>
        <n v="23214"/>
        <n v="13841"/>
        <n v="22142"/>
        <n v="13864"/>
        <n v="9436"/>
        <n v="20808"/>
        <n v="4324"/>
        <n v="4307"/>
        <n v="15331"/>
        <n v="19860"/>
        <n v="9904"/>
        <n v="21752"/>
        <n v="8589"/>
        <n v="10530"/>
        <n v="20413"/>
        <n v="10519"/>
        <n v="11447"/>
        <n v="8071"/>
        <n v="21091"/>
        <n v="8301"/>
        <n v="22668"/>
        <n v="8743"/>
        <n v="4181"/>
        <n v="5248"/>
        <n v="8735"/>
        <n v="17508"/>
        <n v="13345"/>
        <n v="18615"/>
        <n v="9644"/>
        <n v="19133"/>
        <n v="19465"/>
        <n v="22038"/>
        <n v="16891"/>
        <n v="21197"/>
        <n v="21420"/>
        <n v="14828"/>
        <n v="12326"/>
        <n v="23990"/>
      </sharedItems>
      <fieldGroup base="7">
        <rangePr startNum="3240" endNum="24970" groupInterval="3500"/>
        <groupItems count="9">
          <s v="&lt;3240"/>
          <s v="3240-6739"/>
          <s v="6740-10239"/>
          <s v="10240-13739"/>
          <s v="13740-17239"/>
          <s v="17240-20739"/>
          <s v="20740-24239"/>
          <s v="24240-27739"/>
          <s v="&gt;27740"/>
        </groupItems>
      </fieldGroup>
    </cacheField>
    <cacheField name="Years_Driving_Exp" numFmtId="0">
      <sharedItems containsSemiMixedTypes="0" containsString="0" containsNumber="1" containsInteger="1" minValue="0" maxValue="59" count="58">
        <n v="6"/>
        <n v="48"/>
        <n v="44"/>
        <n v="16"/>
        <n v="35"/>
        <n v="38"/>
        <n v="25"/>
        <n v="50"/>
        <n v="3"/>
        <n v="40"/>
        <n v="24"/>
        <n v="30"/>
        <n v="47"/>
        <n v="29"/>
        <n v="39"/>
        <n v="31"/>
        <n v="56"/>
        <n v="59"/>
        <n v="55"/>
        <n v="13"/>
        <n v="52"/>
        <n v="5"/>
        <n v="19"/>
        <n v="0"/>
        <n v="34"/>
        <n v="11"/>
        <n v="26"/>
        <n v="49"/>
        <n v="36"/>
        <n v="46"/>
        <n v="41"/>
        <n v="51"/>
        <n v="12"/>
        <n v="14"/>
        <n v="33"/>
        <n v="53"/>
        <n v="15"/>
        <n v="7"/>
        <n v="21"/>
        <n v="17"/>
        <n v="28"/>
        <n v="20"/>
        <n v="42"/>
        <n v="18"/>
        <n v="2"/>
        <n v="27"/>
        <n v="23"/>
        <n v="8"/>
        <n v="57"/>
        <n v="4"/>
        <n v="54"/>
        <n v="9"/>
        <n v="43"/>
        <n v="1"/>
        <n v="32"/>
        <n v="45"/>
        <n v="37"/>
        <n v="22"/>
      </sharedItems>
      <fieldGroup base="8">
        <rangePr startNum="0" endNum="59" groupInterval="10"/>
        <groupItems count="8">
          <s v="&lt;0"/>
          <s v="0-9"/>
          <s v="10-19"/>
          <s v="20-29"/>
          <s v="30-39"/>
          <s v="40-49"/>
          <s v="50-59"/>
          <s v="&gt;60"/>
        </groupItems>
      </fieldGroup>
    </cacheField>
    <cacheField name="At_Fault_Accidents_5yr" numFmtId="0">
      <sharedItems containsSemiMixedTypes="0" containsString="0" containsNumber="1" containsInteger="1" minValue="0" maxValue="2" count="3">
        <n v="2"/>
        <n v="0"/>
        <n v="1"/>
      </sharedItems>
    </cacheField>
    <cacheField name="Speeding_Tickets_3yr" numFmtId="0">
      <sharedItems containsSemiMixedTypes="0" containsString="0" containsNumber="1" containsInteger="1" minValue="0" maxValue="3" count="4">
        <n v="3"/>
        <n v="0"/>
        <n v="2"/>
        <n v="1"/>
      </sharedItems>
    </cacheField>
    <cacheField name="DUI" numFmtId="0">
      <sharedItems count="5">
        <s v="Y"/>
        <s v="N"/>
        <s v="N " u="1"/>
        <s v=" N " u="1"/>
        <s v="Y " u="1"/>
      </sharedItems>
    </cacheField>
    <cacheField name="Credit_Score" numFmtId="0">
      <sharedItems containsSemiMixedTypes="0" containsString="0" containsNumber="1" containsInteger="1" minValue="302" maxValue="849" count="237">
        <n v="729"/>
        <n v="399"/>
        <n v="371"/>
        <n v="446"/>
        <n v="348"/>
        <n v="849"/>
        <n v="819"/>
        <n v="359"/>
        <n v="423"/>
        <n v="638"/>
        <n v="716"/>
        <n v="411"/>
        <n v="351"/>
        <n v="302"/>
        <n v="362"/>
        <n v="713"/>
        <n v="544"/>
        <n v="818"/>
        <n v="308"/>
        <n v="508"/>
        <n v="465"/>
        <n v="542"/>
        <n v="527"/>
        <n v="821"/>
        <n v="746"/>
        <n v="672"/>
        <n v="430"/>
        <n v="617"/>
        <n v="806"/>
        <n v="424"/>
        <n v="786"/>
        <n v="777"/>
        <n v="635"/>
        <n v="353"/>
        <n v="523"/>
        <n v="684"/>
        <n v="845"/>
        <n v="745"/>
        <n v="585"/>
        <n v="802"/>
        <n v="521"/>
        <n v="751"/>
        <n v="455"/>
        <n v="739"/>
        <n v="376"/>
        <n v="539"/>
        <n v="630"/>
        <n v="584"/>
        <n v="807"/>
        <n v="723"/>
        <n v="796"/>
        <n v="810"/>
        <n v="439"/>
        <n v="452"/>
        <n v="344"/>
        <n v="402"/>
        <n v="636"/>
        <n v="532"/>
        <n v="546"/>
        <n v="461"/>
        <n v="808"/>
        <n v="673"/>
        <n v="468"/>
        <n v="314"/>
        <n v="325"/>
        <n v="338"/>
        <n v="724"/>
        <n v="676"/>
        <n v="549"/>
        <n v="526"/>
        <n v="382"/>
        <n v="417"/>
        <n v="561"/>
        <n v="637"/>
        <n v="326"/>
        <n v="386"/>
        <n v="579"/>
        <n v="356"/>
        <n v="620"/>
        <n v="747"/>
        <n v="822"/>
        <n v="377"/>
        <n v="780"/>
        <n v="392"/>
        <n v="363"/>
        <n v="590"/>
        <n v="519"/>
        <n v="685"/>
        <n v="728"/>
        <n v="695"/>
        <n v="759"/>
        <n v="661"/>
        <n v="320"/>
        <n v="436"/>
        <n v="337"/>
        <n v="592"/>
        <n v="613"/>
        <n v="675"/>
        <n v="707"/>
        <n v="366"/>
        <n v="838"/>
        <n v="486"/>
        <n v="556"/>
        <n v="645"/>
        <n v="596"/>
        <n v="626"/>
        <n v="570"/>
        <n v="503"/>
        <n v="443"/>
        <n v="639"/>
        <n v="791"/>
        <n v="605"/>
        <n v="688"/>
        <n v="577"/>
        <n v="594"/>
        <n v="490"/>
        <n v="816"/>
        <n v="715"/>
        <n v="682"/>
        <n v="379"/>
        <n v="510"/>
        <n v="773"/>
        <n v="361"/>
        <n v="734"/>
        <n v="511"/>
        <n v="581"/>
        <n v="842"/>
        <n v="340"/>
        <n v="509"/>
        <n v="627"/>
        <n v="602"/>
        <n v="771"/>
        <n v="306"/>
        <n v="794"/>
        <n v="740"/>
        <n v="378"/>
        <n v="400"/>
        <n v="664"/>
        <n v="689"/>
        <n v="491"/>
        <n v="471"/>
        <n v="438"/>
        <n v="505"/>
        <n v="504"/>
        <n v="442"/>
        <n v="653"/>
        <n v="705"/>
        <n v="660"/>
        <n v="470"/>
        <n v="595"/>
        <n v="472"/>
        <n v="449"/>
        <n v="827"/>
        <n v="347"/>
        <n v="580"/>
        <n v="397"/>
        <n v="370"/>
        <n v="388"/>
        <n v="591"/>
        <n v="415"/>
        <n v="384"/>
        <n v="422"/>
        <n v="483"/>
        <n v="324"/>
        <n v="703"/>
        <n v="512"/>
        <n v="393"/>
        <n v="555"/>
        <n v="565"/>
        <n v="743"/>
        <n v="335"/>
        <n v="576"/>
        <n v="553"/>
        <n v="625"/>
        <n v="543"/>
        <n v="562"/>
        <n v="790"/>
        <n v="464"/>
        <n v="354"/>
        <n v="598"/>
        <n v="690"/>
        <n v="606"/>
        <n v="733"/>
        <n v="582"/>
        <n v="408"/>
        <n v="476"/>
        <n v="681"/>
        <n v="391"/>
        <n v="677"/>
        <n v="658"/>
        <n v="575"/>
        <n v="492"/>
        <n v="714"/>
        <n v="730"/>
        <n v="499"/>
        <n v="623"/>
        <n v="462"/>
        <n v="319"/>
        <n v="349"/>
        <n v="420"/>
        <n v="597"/>
        <n v="463"/>
        <n v="646"/>
        <n v="460"/>
        <n v="712"/>
        <n v="649"/>
        <n v="702"/>
        <n v="437"/>
        <n v="696"/>
        <n v="441"/>
        <n v="815"/>
        <n v="667"/>
        <n v="355"/>
        <n v="603"/>
        <n v="698"/>
        <n v="387"/>
        <n v="612"/>
        <n v="674"/>
        <n v="322"/>
        <n v="484"/>
        <n v="316"/>
        <n v="433"/>
        <n v="835"/>
        <n v="567"/>
        <n v="795"/>
        <n v="830"/>
        <n v="656"/>
        <n v="374"/>
        <n v="647"/>
        <n v="309"/>
        <n v="409"/>
        <n v="823"/>
        <n v="768"/>
        <n v="453"/>
        <n v="467"/>
        <n v="652"/>
        <n v="799"/>
      </sharedItems>
      <fieldGroup base="12">
        <rangePr autoStart="0" autoEnd="0" startNum="300" endNum="850" groupInterval="110"/>
        <groupItems count="7">
          <s v="&lt;300"/>
          <s v="300-409"/>
          <s v="410-519"/>
          <s v="520-629"/>
          <s v="630-739"/>
          <s v="740-850"/>
          <s v="&gt;850"/>
        </groupItems>
      </fieldGroup>
    </cacheField>
    <cacheField name="Coverage_Type" numFmtId="0">
      <sharedItems count="4">
        <s v="COMP"/>
        <s v="COLL"/>
        <s v="LIAB"/>
        <s v="COLL " u="1"/>
      </sharedItems>
    </cacheField>
    <cacheField name="Prior_Insurance_Carrier" numFmtId="0">
      <sharedItems count="12">
        <s v="Nationwide"/>
        <s v="USAA"/>
        <s v="Allstate"/>
        <s v="Progressive"/>
        <s v="AmericaNFamily"/>
        <s v="Travelers"/>
        <s v="Geico"/>
        <s v="Farmers"/>
        <s v="LibertYMutual"/>
        <s v="State Farm"/>
        <s v="Farmers " u="1"/>
        <s v=" Farmers " u="1"/>
      </sharedItems>
    </cacheField>
    <cacheField name="Claim_Amount_Last_Year" numFmtId="0">
      <sharedItems containsSemiMixedTypes="0" containsString="0" containsNumber="1" containsInteger="1" minValue="0" maxValue="15000" count="6">
        <n v="1200"/>
        <n v="500"/>
        <n v="0"/>
        <n v="15000"/>
        <n v="3000"/>
        <n v="7500"/>
      </sharedItems>
    </cacheField>
    <cacheField name="State" numFmtId="0">
      <sharedItems count="23">
        <s v="TX"/>
        <s v="CA"/>
        <s v="NY"/>
        <s v="IN"/>
        <s v="VA"/>
        <s v="MI"/>
        <s v="AZ"/>
        <s v="WA"/>
        <s v="NC"/>
        <s v="MO"/>
        <s v="FL"/>
        <s v="CO"/>
        <s v="MD"/>
        <s v="PA"/>
        <s v="MA"/>
        <s v="TN"/>
        <s v="CA "/>
        <s v="NJ"/>
        <s v="OH"/>
        <s v="GA"/>
        <s v="IL"/>
        <s v=" MD " u="1"/>
        <s v=" PA " u="1"/>
      </sharedItems>
    </cacheField>
    <cacheField name="Claim Last Year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x v="0"/>
    <x v="0"/>
    <x v="0"/>
    <s v="Jeep"/>
    <s v="Wrangler"/>
    <n v="21390"/>
    <n v="6"/>
    <n v="2"/>
    <n v="3"/>
    <s v="Y"/>
    <n v="729"/>
    <s v="COMP"/>
    <s v="Nationwide"/>
    <n v="1200"/>
    <s v="TX"/>
  </r>
  <r>
    <x v="1"/>
    <x v="1"/>
    <x v="0"/>
    <x v="1"/>
    <x v="1"/>
    <s v="Ford"/>
    <s v="F-150"/>
    <n v="10055"/>
    <n v="48"/>
    <n v="0"/>
    <n v="0"/>
    <s v="N"/>
    <n v="399"/>
    <s v="COLL"/>
    <s v="USAA"/>
    <n v="1200"/>
    <s v="CA"/>
  </r>
  <r>
    <x v="2"/>
    <x v="2"/>
    <x v="1"/>
    <x v="2"/>
    <x v="2"/>
    <s v="Toyota"/>
    <s v="Corolla"/>
    <n v="23599"/>
    <n v="44"/>
    <n v="0"/>
    <n v="2"/>
    <s v="Y"/>
    <n v="371"/>
    <s v="COMP"/>
    <s v="Allstate"/>
    <n v="1200"/>
    <s v="NY"/>
  </r>
  <r>
    <x v="3"/>
    <x v="3"/>
    <x v="0"/>
    <x v="0"/>
    <x v="3"/>
    <s v="Ford"/>
    <s v="F-150"/>
    <n v="24477"/>
    <n v="16"/>
    <n v="1"/>
    <n v="3"/>
    <s v="N"/>
    <n v="446"/>
    <s v="COLL"/>
    <s v="Progressive"/>
    <n v="500"/>
    <s v="IN"/>
  </r>
  <r>
    <x v="4"/>
    <x v="4"/>
    <x v="0"/>
    <x v="1"/>
    <x v="3"/>
    <s v="Chevrolet"/>
    <s v="Malibu"/>
    <n v="10186"/>
    <n v="35"/>
    <n v="1"/>
    <n v="1"/>
    <s v="Y"/>
    <n v="348"/>
    <s v="COMP"/>
    <s v="Progressive"/>
    <n v="0"/>
    <s v="VA"/>
  </r>
  <r>
    <x v="5"/>
    <x v="5"/>
    <x v="0"/>
    <x v="1"/>
    <x v="2"/>
    <s v="Jeep"/>
    <s v="Grand Cherokee"/>
    <n v="20338"/>
    <n v="38"/>
    <n v="1"/>
    <n v="0"/>
    <s v="Y"/>
    <n v="849"/>
    <s v="COLL"/>
    <s v="USAA"/>
    <n v="0"/>
    <s v="MI"/>
  </r>
  <r>
    <x v="6"/>
    <x v="6"/>
    <x v="0"/>
    <x v="1"/>
    <x v="4"/>
    <s v="Ford"/>
    <s v="Escape"/>
    <n v="8854"/>
    <n v="25"/>
    <n v="0"/>
    <n v="3"/>
    <s v="N"/>
    <n v="819"/>
    <s v="LIAB"/>
    <s v="Allstate"/>
    <n v="0"/>
    <s v="AZ"/>
  </r>
  <r>
    <x v="7"/>
    <x v="1"/>
    <x v="0"/>
    <x v="2"/>
    <x v="5"/>
    <s v="Ford"/>
    <s v="Focus"/>
    <n v="3638"/>
    <n v="50"/>
    <n v="0"/>
    <n v="1"/>
    <s v="Y"/>
    <n v="359"/>
    <s v="COMP"/>
    <s v="American Family"/>
    <n v="0"/>
    <s v="NY"/>
  </r>
  <r>
    <x v="8"/>
    <x v="1"/>
    <x v="1"/>
    <x v="0"/>
    <x v="6"/>
    <s v="Ford"/>
    <s v="Focus"/>
    <n v="24295"/>
    <n v="48"/>
    <n v="1"/>
    <n v="2"/>
    <s v="N"/>
    <n v="423"/>
    <s v="COMP"/>
    <s v="Allstate"/>
    <n v="0"/>
    <s v="WA"/>
  </r>
  <r>
    <x v="9"/>
    <x v="7"/>
    <x v="1"/>
    <x v="0"/>
    <x v="3"/>
    <s v="Honda"/>
    <s v="Civic"/>
    <n v="5326"/>
    <n v="3"/>
    <n v="0"/>
    <n v="0"/>
    <s v="Y"/>
    <n v="638"/>
    <s v="COMP"/>
    <s v="Travelers"/>
    <n v="500"/>
    <s v="NC"/>
  </r>
  <r>
    <x v="10"/>
    <x v="8"/>
    <x v="1"/>
    <x v="0"/>
    <x v="7"/>
    <s v="Honda"/>
    <s v="CR-V"/>
    <n v="21711"/>
    <n v="40"/>
    <n v="1"/>
    <n v="0"/>
    <s v="N"/>
    <n v="716"/>
    <s v="COMP"/>
    <s v="Geico"/>
    <n v="0"/>
    <s v="VA"/>
  </r>
  <r>
    <x v="11"/>
    <x v="9"/>
    <x v="1"/>
    <x v="1"/>
    <x v="8"/>
    <s v="Toyota"/>
    <s v="RAV4"/>
    <n v="24412"/>
    <n v="24"/>
    <n v="0"/>
    <n v="1"/>
    <s v="N"/>
    <n v="411"/>
    <s v="COMP"/>
    <s v="Allstate"/>
    <n v="500"/>
    <s v="IN"/>
  </r>
  <r>
    <x v="12"/>
    <x v="10"/>
    <x v="0"/>
    <x v="1"/>
    <x v="9"/>
    <s v="Ford"/>
    <s v="Focus"/>
    <n v="11185"/>
    <n v="30"/>
    <n v="1"/>
    <n v="2"/>
    <s v="Y"/>
    <n v="351"/>
    <s v="LIAB"/>
    <s v="Travelers"/>
    <n v="0"/>
    <s v="NY"/>
  </r>
  <r>
    <x v="13"/>
    <x v="1"/>
    <x v="0"/>
    <x v="0"/>
    <x v="10"/>
    <s v="Nissan"/>
    <s v="Sentra"/>
    <n v="10004"/>
    <n v="47"/>
    <n v="0"/>
    <n v="0"/>
    <s v="N"/>
    <n v="302"/>
    <s v="COLL"/>
    <s v="Farmers"/>
    <n v="15000"/>
    <s v="MI"/>
  </r>
  <r>
    <x v="14"/>
    <x v="6"/>
    <x v="1"/>
    <x v="1"/>
    <x v="11"/>
    <s v="Honda"/>
    <s v="Accord"/>
    <n v="10133"/>
    <n v="29"/>
    <n v="1"/>
    <n v="3"/>
    <s v="Y"/>
    <n v="362"/>
    <s v="LIAB"/>
    <s v="USAA"/>
    <n v="0"/>
    <s v="CA"/>
  </r>
  <r>
    <x v="15"/>
    <x v="11"/>
    <x v="1"/>
    <x v="0"/>
    <x v="12"/>
    <s v="BMW"/>
    <s v="3 Series"/>
    <n v="9089"/>
    <n v="39"/>
    <n v="1"/>
    <n v="0"/>
    <s v="Y"/>
    <n v="713"/>
    <s v="COMP"/>
    <s v="American Family"/>
    <n v="500"/>
    <s v="MO"/>
  </r>
  <r>
    <x v="16"/>
    <x v="5"/>
    <x v="0"/>
    <x v="2"/>
    <x v="10"/>
    <s v="Jeep"/>
    <s v="Grand Cherokee"/>
    <n v="11544"/>
    <n v="39"/>
    <n v="2"/>
    <n v="3"/>
    <s v="N"/>
    <n v="544"/>
    <s v="COLL"/>
    <s v="Liberty Mutual"/>
    <n v="0"/>
    <s v="MI"/>
  </r>
  <r>
    <x v="17"/>
    <x v="12"/>
    <x v="0"/>
    <x v="2"/>
    <x v="4"/>
    <s v="Nissan"/>
    <s v="Rogue"/>
    <n v="21448"/>
    <n v="31"/>
    <n v="0"/>
    <n v="2"/>
    <s v="Y"/>
    <n v="818"/>
    <s v="COLL"/>
    <s v="Progressive"/>
    <n v="3000"/>
    <s v="NY"/>
  </r>
  <r>
    <x v="18"/>
    <x v="13"/>
    <x v="0"/>
    <x v="3"/>
    <x v="13"/>
    <s v="Honda"/>
    <s v="Accord"/>
    <n v="20800"/>
    <n v="56"/>
    <n v="1"/>
    <n v="3"/>
    <s v="Y"/>
    <n v="308"/>
    <s v="LIAB"/>
    <s v="Travelers"/>
    <n v="1200"/>
    <s v="FL"/>
  </r>
  <r>
    <x v="19"/>
    <x v="13"/>
    <x v="0"/>
    <x v="3"/>
    <x v="14"/>
    <s v="Toyota"/>
    <s v="Camry"/>
    <n v="11924"/>
    <n v="56"/>
    <n v="1"/>
    <n v="0"/>
    <s v="N"/>
    <n v="508"/>
    <s v="LIAB"/>
    <s v="Farmers"/>
    <n v="15000"/>
    <s v="NC"/>
  </r>
  <r>
    <x v="20"/>
    <x v="14"/>
    <x v="0"/>
    <x v="2"/>
    <x v="15"/>
    <s v="Chevrolet"/>
    <s v="Malibu"/>
    <n v="4444"/>
    <n v="59"/>
    <n v="0"/>
    <n v="0"/>
    <s v="N"/>
    <n v="465"/>
    <s v="LIAB"/>
    <s v="Nationwide"/>
    <n v="7500"/>
    <s v="IN"/>
  </r>
  <r>
    <x v="21"/>
    <x v="14"/>
    <x v="0"/>
    <x v="3"/>
    <x v="16"/>
    <s v="Honda"/>
    <s v="Civic"/>
    <n v="14589"/>
    <n v="55"/>
    <n v="1"/>
    <n v="2"/>
    <s v="Y"/>
    <n v="542"/>
    <s v="COMP"/>
    <s v="Progressive"/>
    <n v="7500"/>
    <s v="TX"/>
  </r>
  <r>
    <x v="22"/>
    <x v="15"/>
    <x v="1"/>
    <x v="3"/>
    <x v="10"/>
    <s v="Honda"/>
    <s v="Accord"/>
    <n v="8216"/>
    <n v="13"/>
    <n v="1"/>
    <n v="0"/>
    <s v="N"/>
    <n v="527"/>
    <s v="COMP"/>
    <s v="Nationwide"/>
    <n v="3000"/>
    <s v="MI"/>
  </r>
  <r>
    <x v="23"/>
    <x v="16"/>
    <x v="0"/>
    <x v="0"/>
    <x v="4"/>
    <s v="Honda"/>
    <s v="Accord"/>
    <n v="13756"/>
    <n v="52"/>
    <n v="0"/>
    <n v="1"/>
    <s v="N"/>
    <n v="821"/>
    <s v="COLL"/>
    <s v="Travelers"/>
    <n v="3000"/>
    <s v="TX"/>
  </r>
  <r>
    <x v="24"/>
    <x v="17"/>
    <x v="0"/>
    <x v="0"/>
    <x v="3"/>
    <s v="Ford"/>
    <s v="F-150"/>
    <n v="6552"/>
    <n v="5"/>
    <n v="1"/>
    <n v="1"/>
    <s v="N"/>
    <n v="746"/>
    <s v="LIAB"/>
    <s v="Travelers"/>
    <n v="0"/>
    <s v="CO"/>
  </r>
  <r>
    <x v="25"/>
    <x v="14"/>
    <x v="1"/>
    <x v="0"/>
    <x v="17"/>
    <s v="Toyota"/>
    <s v="RAV4"/>
    <n v="17288"/>
    <n v="59"/>
    <n v="1"/>
    <n v="2"/>
    <s v="Y"/>
    <n v="672"/>
    <s v="COLL"/>
    <s v="Geico"/>
    <n v="3000"/>
    <s v="MD"/>
  </r>
  <r>
    <x v="26"/>
    <x v="18"/>
    <x v="1"/>
    <x v="2"/>
    <x v="18"/>
    <s v="Ford"/>
    <s v="Escape"/>
    <n v="13134"/>
    <n v="19"/>
    <n v="0"/>
    <n v="1"/>
    <s v="N"/>
    <n v="430"/>
    <s v="COMP"/>
    <s v="Liberty Mutual"/>
    <n v="7500"/>
    <s v="PA"/>
  </r>
  <r>
    <x v="27"/>
    <x v="19"/>
    <x v="1"/>
    <x v="0"/>
    <x v="19"/>
    <s v="Toyota"/>
    <s v="Corolla"/>
    <n v="19890"/>
    <n v="30"/>
    <n v="0"/>
    <n v="0"/>
    <s v="Y"/>
    <n v="617"/>
    <s v="COMP"/>
    <s v="Allstate"/>
    <n v="0"/>
    <s v="TX"/>
  </r>
  <r>
    <x v="28"/>
    <x v="20"/>
    <x v="0"/>
    <x v="1"/>
    <x v="5"/>
    <s v="Toyota"/>
    <s v="Corolla"/>
    <n v="16580"/>
    <n v="0"/>
    <n v="0"/>
    <n v="3"/>
    <s v="N"/>
    <n v="806"/>
    <s v="COLL"/>
    <s v="Allstate"/>
    <n v="0"/>
    <s v="TX"/>
  </r>
  <r>
    <x v="29"/>
    <x v="14"/>
    <x v="0"/>
    <x v="1"/>
    <x v="20"/>
    <s v="Honda"/>
    <s v="CR-V"/>
    <n v="19972"/>
    <n v="56"/>
    <n v="0"/>
    <n v="2"/>
    <s v="Y"/>
    <n v="424"/>
    <s v="COLL"/>
    <s v="Progressive"/>
    <n v="15000"/>
    <s v="MA"/>
  </r>
  <r>
    <x v="30"/>
    <x v="21"/>
    <x v="1"/>
    <x v="3"/>
    <x v="21"/>
    <s v="Nissan"/>
    <s v="Rogue"/>
    <n v="19540"/>
    <n v="34"/>
    <n v="1"/>
    <n v="1"/>
    <s v="Y"/>
    <n v="786"/>
    <s v="COLL"/>
    <s v="Farmers"/>
    <n v="500"/>
    <s v="NC"/>
  </r>
  <r>
    <x v="31"/>
    <x v="22"/>
    <x v="0"/>
    <x v="1"/>
    <x v="6"/>
    <s v="Honda"/>
    <s v="CR-V"/>
    <n v="10010"/>
    <n v="11"/>
    <n v="1"/>
    <n v="1"/>
    <s v="N"/>
    <n v="777"/>
    <s v="COLL"/>
    <s v="State Farm"/>
    <n v="500"/>
    <s v="VA"/>
  </r>
  <r>
    <x v="32"/>
    <x v="23"/>
    <x v="1"/>
    <x v="2"/>
    <x v="21"/>
    <s v="Jeep"/>
    <s v="Grand Cherokee"/>
    <n v="18629"/>
    <n v="26"/>
    <n v="0"/>
    <n v="1"/>
    <s v="N"/>
    <n v="729"/>
    <s v="LIAB"/>
    <s v="Travelers"/>
    <n v="500"/>
    <s v="TN"/>
  </r>
  <r>
    <x v="33"/>
    <x v="11"/>
    <x v="1"/>
    <x v="2"/>
    <x v="22"/>
    <s v="Chevrolet"/>
    <s v="Silverado"/>
    <n v="18128"/>
    <n v="38"/>
    <n v="0"/>
    <n v="1"/>
    <s v="N"/>
    <n v="635"/>
    <s v="COMP"/>
    <s v="Nationwide"/>
    <n v="3000"/>
    <s v="WA"/>
  </r>
  <r>
    <x v="34"/>
    <x v="1"/>
    <x v="1"/>
    <x v="3"/>
    <x v="21"/>
    <s v="Chevrolet"/>
    <s v="Malibu"/>
    <n v="5683"/>
    <n v="47"/>
    <n v="0"/>
    <n v="3"/>
    <s v="Y"/>
    <n v="353"/>
    <s v="COLL"/>
    <s v="Allstate"/>
    <n v="0"/>
    <s v="CA "/>
  </r>
  <r>
    <x v="35"/>
    <x v="1"/>
    <x v="0"/>
    <x v="0"/>
    <x v="16"/>
    <s v="Toyota"/>
    <s v="RAV4"/>
    <n v="7993"/>
    <n v="49"/>
    <n v="0"/>
    <n v="1"/>
    <s v="Y"/>
    <n v="523"/>
    <s v="COLL"/>
    <s v=" Farmers "/>
    <n v="3000"/>
    <s v="PA"/>
  </r>
  <r>
    <x v="36"/>
    <x v="5"/>
    <x v="1"/>
    <x v="2"/>
    <x v="21"/>
    <s v="Honda"/>
    <s v="Accord"/>
    <n v="6542"/>
    <n v="36"/>
    <n v="0"/>
    <n v="1"/>
    <s v="Y"/>
    <n v="684"/>
    <s v="COLL"/>
    <s v="Allstate"/>
    <n v="0"/>
    <s v="MO"/>
  </r>
  <r>
    <x v="37"/>
    <x v="24"/>
    <x v="1"/>
    <x v="0"/>
    <x v="14"/>
    <s v="Ford"/>
    <s v="Escape"/>
    <n v="22674"/>
    <n v="46"/>
    <n v="1"/>
    <n v="0"/>
    <s v="N"/>
    <n v="845"/>
    <s v="COLL"/>
    <s v="USAA"/>
    <n v="0"/>
    <s v="MA"/>
  </r>
  <r>
    <x v="38"/>
    <x v="25"/>
    <x v="0"/>
    <x v="2"/>
    <x v="10"/>
    <s v="Nissan"/>
    <s v="Altima"/>
    <n v="17205"/>
    <n v="41"/>
    <n v="2"/>
    <n v="1"/>
    <s v="Y"/>
    <n v="745"/>
    <s v="COMP"/>
    <s v="Travelers"/>
    <n v="1200"/>
    <s v="MD"/>
  </r>
  <r>
    <x v="39"/>
    <x v="26"/>
    <x v="1"/>
    <x v="1"/>
    <x v="8"/>
    <s v="Chevrolet"/>
    <s v="EquiNx"/>
    <n v="22414"/>
    <n v="51"/>
    <n v="0"/>
    <n v="0"/>
    <s v="Y"/>
    <n v="585"/>
    <s v="COLL"/>
    <s v="Allstate"/>
    <n v="15000"/>
    <s v="MO"/>
  </r>
  <r>
    <x v="40"/>
    <x v="27"/>
    <x v="1"/>
    <x v="0"/>
    <x v="22"/>
    <s v="Honda"/>
    <s v="Accord"/>
    <n v="19009"/>
    <n v="0"/>
    <n v="0"/>
    <n v="3"/>
    <s v="N"/>
    <n v="802"/>
    <s v="COLL"/>
    <s v="State Farm"/>
    <n v="0"/>
    <s v="MI"/>
  </r>
  <r>
    <x v="41"/>
    <x v="28"/>
    <x v="1"/>
    <x v="0"/>
    <x v="13"/>
    <s v="Jeep"/>
    <s v="Grand Cherokee"/>
    <n v="18507"/>
    <n v="12"/>
    <n v="1"/>
    <n v="1"/>
    <s v="N"/>
    <n v="638"/>
    <s v="COLL"/>
    <s v="Nationwide"/>
    <n v="1200"/>
    <s v="MI"/>
  </r>
  <r>
    <x v="42"/>
    <x v="29"/>
    <x v="0"/>
    <x v="2"/>
    <x v="18"/>
    <s v="Honda"/>
    <s v="Accord"/>
    <n v="6917"/>
    <n v="14"/>
    <n v="2"/>
    <n v="0"/>
    <s v="Y"/>
    <n v="521"/>
    <s v="LIAB"/>
    <s v="Nationwide"/>
    <n v="1200"/>
    <s v="MO"/>
  </r>
  <r>
    <x v="43"/>
    <x v="21"/>
    <x v="0"/>
    <x v="0"/>
    <x v="15"/>
    <s v="Nissan"/>
    <s v="Altima"/>
    <n v="3401"/>
    <n v="33"/>
    <n v="0"/>
    <n v="1"/>
    <s v=" N "/>
    <n v="751"/>
    <s v="COLL"/>
    <s v="Progressive"/>
    <n v="0"/>
    <s v="NC"/>
  </r>
  <r>
    <x v="44"/>
    <x v="30"/>
    <x v="1"/>
    <x v="2"/>
    <x v="22"/>
    <s v="Chevrolet"/>
    <s v="Malibu"/>
    <n v="5427"/>
    <n v="53"/>
    <n v="2"/>
    <n v="3"/>
    <s v="Y"/>
    <n v="455"/>
    <s v="COMP"/>
    <s v="American Family"/>
    <n v="1200"/>
    <s v="NY"/>
  </r>
  <r>
    <x v="45"/>
    <x v="31"/>
    <x v="0"/>
    <x v="1"/>
    <x v="5"/>
    <s v="Jeep"/>
    <s v="Wrangler"/>
    <n v="20123"/>
    <n v="14"/>
    <n v="1"/>
    <n v="1"/>
    <s v="N"/>
    <n v="739"/>
    <s v="COLL"/>
    <s v="American Family"/>
    <n v="0"/>
    <s v="MD"/>
  </r>
  <r>
    <x v="46"/>
    <x v="32"/>
    <x v="0"/>
    <x v="0"/>
    <x v="15"/>
    <s v="Honda"/>
    <s v="Accord"/>
    <n v="24640"/>
    <n v="49"/>
    <n v="0"/>
    <n v="0"/>
    <s v="Y"/>
    <n v="376"/>
    <s v="COMP"/>
    <s v="State Farm"/>
    <n v="7500"/>
    <s v="NJ"/>
  </r>
  <r>
    <x v="47"/>
    <x v="24"/>
    <x v="1"/>
    <x v="1"/>
    <x v="13"/>
    <s v="Toyota"/>
    <s v="Camry"/>
    <n v="12440"/>
    <n v="44"/>
    <n v="2"/>
    <n v="1"/>
    <s v="Y"/>
    <n v="539"/>
    <s v="COLL"/>
    <s v="American Family"/>
    <n v="500"/>
    <s v="VA"/>
  </r>
  <r>
    <x v="48"/>
    <x v="24"/>
    <x v="1"/>
    <x v="3"/>
    <x v="0"/>
    <s v="BMW"/>
    <s v="5 Series"/>
    <n v="17344"/>
    <n v="46"/>
    <n v="1"/>
    <n v="0"/>
    <s v="N"/>
    <n v="630"/>
    <s v="LIAB"/>
    <s v="Farmers"/>
    <n v="0"/>
    <s v="NY"/>
  </r>
  <r>
    <x v="49"/>
    <x v="28"/>
    <x v="1"/>
    <x v="2"/>
    <x v="21"/>
    <s v="Ford"/>
    <s v="Escape"/>
    <n v="4318"/>
    <n v="15"/>
    <n v="1"/>
    <n v="2"/>
    <s v="N"/>
    <n v="584"/>
    <s v="COMP"/>
    <s v="American Family"/>
    <n v="7500"/>
    <s v="TN"/>
  </r>
  <r>
    <x v="50"/>
    <x v="0"/>
    <x v="1"/>
    <x v="3"/>
    <x v="10"/>
    <s v="Ford"/>
    <s v="Focus"/>
    <n v="24958"/>
    <n v="7"/>
    <n v="0"/>
    <n v="1"/>
    <s v="N"/>
    <n v="807"/>
    <s v="COLL"/>
    <s v="Liberty Mutual"/>
    <n v="0"/>
    <s v="NJ"/>
  </r>
  <r>
    <x v="51"/>
    <x v="0"/>
    <x v="0"/>
    <x v="3"/>
    <x v="1"/>
    <s v="Toyota"/>
    <s v="Corolla"/>
    <n v="19862"/>
    <n v="7"/>
    <n v="2"/>
    <n v="2"/>
    <s v="N"/>
    <n v="723"/>
    <s v="COMP"/>
    <s v="Allstate"/>
    <n v="3000"/>
    <s v="MD"/>
  </r>
  <r>
    <x v="52"/>
    <x v="1"/>
    <x v="1"/>
    <x v="1"/>
    <x v="21"/>
    <s v="Toyota"/>
    <s v="Camry"/>
    <n v="11750"/>
    <n v="46"/>
    <n v="0"/>
    <n v="1"/>
    <s v="N"/>
    <n v="796"/>
    <s v="COMP"/>
    <s v="State Farm"/>
    <n v="500"/>
    <s v="PA"/>
  </r>
  <r>
    <x v="53"/>
    <x v="33"/>
    <x v="1"/>
    <x v="2"/>
    <x v="7"/>
    <s v="Chevrolet"/>
    <s v="Silverado"/>
    <n v="10362"/>
    <n v="21"/>
    <n v="1"/>
    <n v="0"/>
    <s v="Y"/>
    <n v="810"/>
    <s v="LIAB"/>
    <s v="Farmers"/>
    <n v="1200"/>
    <s v="VA"/>
  </r>
  <r>
    <x v="54"/>
    <x v="34"/>
    <x v="1"/>
    <x v="1"/>
    <x v="20"/>
    <s v="Nissan"/>
    <s v="Rogue"/>
    <n v="7739"/>
    <n v="52"/>
    <n v="0"/>
    <n v="2"/>
    <s v="Y"/>
    <n v="439"/>
    <s v="COMP"/>
    <s v="Farmers"/>
    <n v="7500"/>
    <s v="WA"/>
  </r>
  <r>
    <x v="55"/>
    <x v="35"/>
    <x v="1"/>
    <x v="3"/>
    <x v="4"/>
    <s v="Ford"/>
    <s v="Escape"/>
    <n v="12783"/>
    <n v="48"/>
    <n v="1"/>
    <n v="3"/>
    <s v="N"/>
    <n v="452"/>
    <s v="COLL"/>
    <s v="Travelers"/>
    <n v="15000"/>
    <s v="AZ"/>
  </r>
  <r>
    <x v="56"/>
    <x v="36"/>
    <x v="1"/>
    <x v="1"/>
    <x v="8"/>
    <s v="Ford"/>
    <s v="F-150"/>
    <n v="10825"/>
    <n v="19"/>
    <n v="1"/>
    <n v="0"/>
    <s v="N"/>
    <n v="344"/>
    <s v="COLL"/>
    <s v="Nationwide"/>
    <n v="7500"/>
    <s v="CO"/>
  </r>
  <r>
    <x v="57"/>
    <x v="8"/>
    <x v="1"/>
    <x v="0"/>
    <x v="23"/>
    <s v="Toyota"/>
    <s v="Camry"/>
    <n v="19459"/>
    <n v="40"/>
    <n v="0"/>
    <n v="0"/>
    <s v="N"/>
    <n v="402"/>
    <s v="LIAB"/>
    <s v="Nationwide"/>
    <n v="0"/>
    <s v="OH"/>
  </r>
  <r>
    <x v="58"/>
    <x v="37"/>
    <x v="1"/>
    <x v="0"/>
    <x v="22"/>
    <s v="Nissan"/>
    <s v="Sentra"/>
    <n v="14093"/>
    <n v="24"/>
    <n v="2"/>
    <n v="1"/>
    <s v="Y"/>
    <n v="636"/>
    <s v="LIAB"/>
    <s v="Travelers"/>
    <n v="7500"/>
    <s v="WA"/>
  </r>
  <r>
    <x v="59"/>
    <x v="38"/>
    <x v="1"/>
    <x v="1"/>
    <x v="7"/>
    <s v="Toyota"/>
    <s v="RAV4"/>
    <n v="5242"/>
    <n v="41"/>
    <n v="2"/>
    <n v="3"/>
    <s v="N"/>
    <n v="532"/>
    <s v="LIAB"/>
    <s v="Geico"/>
    <n v="7500"/>
    <s v="FL"/>
  </r>
  <r>
    <x v="60"/>
    <x v="31"/>
    <x v="1"/>
    <x v="1"/>
    <x v="3"/>
    <s v="Honda"/>
    <s v="Civic"/>
    <n v="8736"/>
    <n v="17"/>
    <n v="1"/>
    <n v="1"/>
    <s v="Y"/>
    <n v="546"/>
    <s v="COLL"/>
    <s v="American Family"/>
    <n v="0"/>
    <s v="GA"/>
  </r>
  <r>
    <x v="61"/>
    <x v="12"/>
    <x v="1"/>
    <x v="3"/>
    <x v="8"/>
    <s v="Ford"/>
    <s v="Escape"/>
    <n v="3307"/>
    <n v="28"/>
    <n v="0"/>
    <n v="3"/>
    <s v="Y"/>
    <n v="461"/>
    <s v="COMP"/>
    <s v="Nationwide"/>
    <n v="3000"/>
    <s v="MO"/>
  </r>
  <r>
    <x v="62"/>
    <x v="33"/>
    <x v="1"/>
    <x v="1"/>
    <x v="6"/>
    <s v="Ford"/>
    <s v="Focus"/>
    <n v="12899"/>
    <n v="20"/>
    <n v="1"/>
    <n v="1"/>
    <s v="Y"/>
    <n v="542"/>
    <s v="COLL"/>
    <s v="American Family"/>
    <n v="3000"/>
    <s v="MO"/>
  </r>
  <r>
    <x v="63"/>
    <x v="39"/>
    <x v="1"/>
    <x v="3"/>
    <x v="4"/>
    <s v="Chevrolet"/>
    <s v="Malibu"/>
    <n v="3265"/>
    <n v="16"/>
    <n v="2"/>
    <n v="3"/>
    <s v="Y"/>
    <n v="808"/>
    <s v="COLL"/>
    <s v="Allstate"/>
    <n v="3000"/>
    <s v="GA"/>
  </r>
  <r>
    <x v="64"/>
    <x v="38"/>
    <x v="0"/>
    <x v="3"/>
    <x v="19"/>
    <s v="Honda"/>
    <s v="CR-V"/>
    <n v="6183"/>
    <n v="42"/>
    <n v="0"/>
    <n v="1"/>
    <s v="Y"/>
    <n v="673"/>
    <s v="LIAB"/>
    <s v="Progressive"/>
    <n v="0"/>
    <s v="MI"/>
  </r>
  <r>
    <x v="65"/>
    <x v="18"/>
    <x v="1"/>
    <x v="1"/>
    <x v="9"/>
    <s v="Honda"/>
    <s v="Civic"/>
    <n v="20675"/>
    <n v="20"/>
    <n v="1"/>
    <n v="2"/>
    <s v="N"/>
    <n v="468"/>
    <s v="COLL"/>
    <s v="Nationwide"/>
    <n v="1200"/>
    <s v="WA"/>
  </r>
  <r>
    <x v="66"/>
    <x v="26"/>
    <x v="0"/>
    <x v="1"/>
    <x v="22"/>
    <s v="Honda"/>
    <s v="Civic"/>
    <n v="16022"/>
    <n v="49"/>
    <n v="0"/>
    <n v="0"/>
    <s v="N"/>
    <n v="314"/>
    <s v="COLL"/>
    <s v="Travelers"/>
    <n v="0"/>
    <s v="NJ"/>
  </r>
  <r>
    <x v="67"/>
    <x v="40"/>
    <x v="1"/>
    <x v="3"/>
    <x v="3"/>
    <s v="Chevrolet"/>
    <s v="EquiNx"/>
    <n v="15172"/>
    <n v="25"/>
    <n v="2"/>
    <n v="0"/>
    <s v="N"/>
    <n v="325"/>
    <s v="LIAB"/>
    <s v="Travelers"/>
    <n v="3000"/>
    <s v=" MD "/>
  </r>
  <r>
    <x v="68"/>
    <x v="28"/>
    <x v="1"/>
    <x v="2"/>
    <x v="15"/>
    <s v="Nissan"/>
    <s v="Rogue"/>
    <n v="12902"/>
    <n v="13"/>
    <n v="0"/>
    <n v="0"/>
    <s v="Y"/>
    <n v="338"/>
    <s v="COLL"/>
    <s v="Nationwide"/>
    <n v="0"/>
    <s v="FL"/>
  </r>
  <r>
    <x v="69"/>
    <x v="31"/>
    <x v="1"/>
    <x v="0"/>
    <x v="2"/>
    <s v="Nissan"/>
    <s v="Sentra"/>
    <n v="24970"/>
    <n v="13"/>
    <n v="1"/>
    <n v="2"/>
    <s v="Y"/>
    <n v="724"/>
    <s v="LIAB"/>
    <s v="Geico"/>
    <n v="15000"/>
    <s v="MD"/>
  </r>
  <r>
    <x v="70"/>
    <x v="37"/>
    <x v="0"/>
    <x v="2"/>
    <x v="6"/>
    <s v="Ford"/>
    <s v="F-150"/>
    <n v="17528"/>
    <n v="25"/>
    <n v="0"/>
    <n v="1"/>
    <s v="Y"/>
    <n v="676"/>
    <s v="LIAB"/>
    <s v="USAA"/>
    <n v="0"/>
    <s v="CO"/>
  </r>
  <r>
    <x v="71"/>
    <x v="3"/>
    <x v="0"/>
    <x v="2"/>
    <x v="8"/>
    <s v="Toyota"/>
    <s v="Camry"/>
    <n v="24027"/>
    <n v="15"/>
    <n v="0"/>
    <n v="0"/>
    <s v="N"/>
    <n v="549"/>
    <s v="COMP"/>
    <s v="American Family"/>
    <n v="500"/>
    <s v="NY"/>
  </r>
  <r>
    <x v="72"/>
    <x v="17"/>
    <x v="1"/>
    <x v="2"/>
    <x v="23"/>
    <s v="Nissan"/>
    <s v="Sentra"/>
    <n v="19817"/>
    <n v="5"/>
    <n v="0"/>
    <n v="1"/>
    <s v="Y"/>
    <n v="526"/>
    <s v="LIAB"/>
    <s v="State Farm"/>
    <n v="1200"/>
    <s v="NJ"/>
  </r>
  <r>
    <x v="73"/>
    <x v="25"/>
    <x v="0"/>
    <x v="2"/>
    <x v="23"/>
    <s v="Chevrolet"/>
    <s v="Malibu"/>
    <n v="6537"/>
    <n v="40"/>
    <n v="2"/>
    <n v="1"/>
    <s v="Y"/>
    <n v="382"/>
    <s v="COLL"/>
    <s v="American Family"/>
    <n v="0"/>
    <s v="NY"/>
  </r>
  <r>
    <x v="74"/>
    <x v="41"/>
    <x v="0"/>
    <x v="3"/>
    <x v="2"/>
    <s v="Jeep"/>
    <s v="Grand Cherokee"/>
    <n v="17867"/>
    <n v="6"/>
    <n v="1"/>
    <n v="1"/>
    <s v="Y"/>
    <n v="417"/>
    <s v="LIAB"/>
    <s v="Travelers"/>
    <n v="500"/>
    <s v="VA"/>
  </r>
  <r>
    <x v="75"/>
    <x v="10"/>
    <x v="0"/>
    <x v="1"/>
    <x v="1"/>
    <s v="Nissan"/>
    <s v="Sentra"/>
    <n v="16631"/>
    <n v="30"/>
    <n v="0"/>
    <n v="1"/>
    <s v="N"/>
    <n v="561"/>
    <s v="COLL"/>
    <s v="Progressive"/>
    <n v="15000"/>
    <s v="NY"/>
  </r>
  <r>
    <x v="76"/>
    <x v="0"/>
    <x v="0"/>
    <x v="2"/>
    <x v="10"/>
    <s v="Toyota"/>
    <s v="Corolla"/>
    <n v="7263"/>
    <n v="3"/>
    <n v="0"/>
    <n v="2"/>
    <s v="Y"/>
    <n v="637"/>
    <s v="LIAB"/>
    <s v="Geico"/>
    <n v="7500"/>
    <s v="AZ"/>
  </r>
  <r>
    <x v="77"/>
    <x v="30"/>
    <x v="1"/>
    <x v="1"/>
    <x v="18"/>
    <s v="Toyota"/>
    <s v="Corolla"/>
    <n v="22674"/>
    <n v="55"/>
    <n v="0"/>
    <n v="0"/>
    <s v="Y"/>
    <n v="819"/>
    <s v="COMP"/>
    <s v="Progressive"/>
    <n v="15000"/>
    <s v="GA"/>
  </r>
  <r>
    <x v="78"/>
    <x v="42"/>
    <x v="0"/>
    <x v="3"/>
    <x v="7"/>
    <s v="Ford"/>
    <s v="F-150"/>
    <n v="12128"/>
    <n v="52"/>
    <n v="0"/>
    <n v="1"/>
    <s v="Y"/>
    <n v="326"/>
    <s v="LIAB"/>
    <s v="Farmers"/>
    <n v="0"/>
    <s v="PA"/>
  </r>
  <r>
    <x v="79"/>
    <x v="3"/>
    <x v="1"/>
    <x v="3"/>
    <x v="1"/>
    <s v="Ford"/>
    <s v="F-150"/>
    <n v="8944"/>
    <n v="18"/>
    <n v="1"/>
    <n v="3"/>
    <s v="N"/>
    <n v="371"/>
    <s v="COMP"/>
    <s v="State Farm"/>
    <n v="0"/>
    <s v="MA"/>
  </r>
  <r>
    <x v="80"/>
    <x v="43"/>
    <x v="1"/>
    <x v="1"/>
    <x v="8"/>
    <s v="Ford"/>
    <s v="F-150"/>
    <n v="15125"/>
    <n v="13"/>
    <n v="2"/>
    <n v="1"/>
    <s v="Y"/>
    <n v="386"/>
    <s v="COMP"/>
    <s v="Progressive"/>
    <n v="0"/>
    <s v="MD"/>
  </r>
  <r>
    <x v="81"/>
    <x v="44"/>
    <x v="1"/>
    <x v="2"/>
    <x v="17"/>
    <s v="Nissan"/>
    <s v="Rogue"/>
    <n v="16894"/>
    <n v="2"/>
    <n v="1"/>
    <n v="1"/>
    <s v="N"/>
    <n v="579"/>
    <s v="COMP"/>
    <s v="Travelers"/>
    <n v="0"/>
    <s v="AZ"/>
  </r>
  <r>
    <x v="82"/>
    <x v="6"/>
    <x v="0"/>
    <x v="3"/>
    <x v="19"/>
    <s v="Jeep"/>
    <s v="Grand Cherokee"/>
    <n v="20266"/>
    <n v="27"/>
    <n v="0"/>
    <n v="0"/>
    <s v="N"/>
    <n v="356"/>
    <s v="COMP"/>
    <s v="Allstate"/>
    <n v="1200"/>
    <s v="IL"/>
  </r>
  <r>
    <x v="83"/>
    <x v="21"/>
    <x v="1"/>
    <x v="3"/>
    <x v="22"/>
    <s v="Chevrolet"/>
    <s v="EquiNx"/>
    <n v="4386"/>
    <n v="34"/>
    <n v="0"/>
    <n v="1"/>
    <s v="Y"/>
    <n v="620"/>
    <s v="LIAB"/>
    <s v="Liberty Mutual"/>
    <n v="7500"/>
    <s v="VA"/>
  </r>
  <r>
    <x v="84"/>
    <x v="39"/>
    <x v="0"/>
    <x v="1"/>
    <x v="4"/>
    <s v="Ford"/>
    <s v="F-150"/>
    <n v="23254"/>
    <n v="17"/>
    <n v="2"/>
    <n v="1"/>
    <s v="Y"/>
    <n v="747"/>
    <s v="COMP"/>
    <s v="Allstate"/>
    <n v="7500"/>
    <s v="MO"/>
  </r>
  <r>
    <x v="85"/>
    <x v="45"/>
    <x v="1"/>
    <x v="2"/>
    <x v="2"/>
    <s v="Ford"/>
    <s v="Escape"/>
    <n v="14125"/>
    <n v="26"/>
    <n v="0"/>
    <n v="0"/>
    <s v="Y"/>
    <n v="822"/>
    <s v="LIAB"/>
    <s v="Geico"/>
    <n v="500"/>
    <s v="AZ"/>
  </r>
  <r>
    <x v="86"/>
    <x v="9"/>
    <x v="1"/>
    <x v="0"/>
    <x v="20"/>
    <s v="Toyota"/>
    <s v="Camry"/>
    <n v="11387"/>
    <n v="23"/>
    <n v="0"/>
    <n v="2"/>
    <s v="Y"/>
    <n v="377"/>
    <s v="COMP"/>
    <s v="Nationwide"/>
    <n v="15000"/>
    <s v="MO"/>
  </r>
  <r>
    <x v="87"/>
    <x v="1"/>
    <x v="1"/>
    <x v="1"/>
    <x v="19"/>
    <s v="Jeep"/>
    <s v="Grand Cherokee"/>
    <n v="23552"/>
    <n v="48"/>
    <n v="0"/>
    <n v="1"/>
    <s v="Y"/>
    <n v="780"/>
    <s v="COLL"/>
    <s v="Farmers"/>
    <n v="1200"/>
    <s v="MO"/>
  </r>
  <r>
    <x v="88"/>
    <x v="44"/>
    <x v="0"/>
    <x v="2"/>
    <x v="13"/>
    <s v="Nissan"/>
    <s v="Sentra"/>
    <n v="4232"/>
    <n v="5"/>
    <n v="0"/>
    <n v="1"/>
    <s v="Y"/>
    <n v="392"/>
    <s v="LIAB"/>
    <s v="American Family"/>
    <n v="7500"/>
    <s v="NJ"/>
  </r>
  <r>
    <x v="89"/>
    <x v="11"/>
    <x v="1"/>
    <x v="2"/>
    <x v="8"/>
    <s v="Jeep"/>
    <s v="Wrangler"/>
    <n v="13535"/>
    <n v="35"/>
    <n v="1"/>
    <n v="2"/>
    <s v="Y"/>
    <n v="363"/>
    <s v="COLL"/>
    <s v="Geico"/>
    <n v="3000"/>
    <s v="NY"/>
  </r>
  <r>
    <x v="90"/>
    <x v="19"/>
    <x v="1"/>
    <x v="0"/>
    <x v="12"/>
    <s v="Honda"/>
    <s v="Accord"/>
    <n v="17398"/>
    <n v="30"/>
    <n v="1"/>
    <n v="2"/>
    <s v="Y"/>
    <n v="672"/>
    <s v="COLL"/>
    <s v="Farmers"/>
    <n v="7500"/>
    <s v="VA"/>
  </r>
  <r>
    <x v="91"/>
    <x v="46"/>
    <x v="0"/>
    <x v="2"/>
    <x v="15"/>
    <s v="Ford"/>
    <s v="F-150"/>
    <n v="13803"/>
    <n v="51"/>
    <n v="1"/>
    <n v="3"/>
    <s v="N"/>
    <n v="590"/>
    <s v="COLL"/>
    <s v="American Family"/>
    <n v="0"/>
    <s v="WA"/>
  </r>
  <r>
    <x v="92"/>
    <x v="8"/>
    <x v="1"/>
    <x v="2"/>
    <x v="15"/>
    <s v="Chevrolet"/>
    <s v="EquiNx"/>
    <n v="14856"/>
    <n v="44"/>
    <n v="0"/>
    <n v="1"/>
    <s v="Y"/>
    <n v="519"/>
    <s v="COLL"/>
    <s v="Nationwide"/>
    <n v="500"/>
    <s v="GA"/>
  </r>
  <r>
    <x v="93"/>
    <x v="41"/>
    <x v="0"/>
    <x v="2"/>
    <x v="13"/>
    <s v="Toyota"/>
    <s v="Camry"/>
    <n v="24690"/>
    <n v="8"/>
    <n v="1"/>
    <n v="0"/>
    <s v="Y"/>
    <n v="685"/>
    <s v="COMP"/>
    <s v="Progressive"/>
    <n v="0"/>
    <s v="MD"/>
  </r>
  <r>
    <x v="94"/>
    <x v="26"/>
    <x v="0"/>
    <x v="1"/>
    <x v="12"/>
    <s v="Chevrolet"/>
    <s v="Malibu"/>
    <n v="10783"/>
    <n v="50"/>
    <n v="1"/>
    <n v="1"/>
    <s v="N"/>
    <n v="539"/>
    <s v="LIAB"/>
    <s v="Allstate"/>
    <n v="1200"/>
    <s v="TN"/>
  </r>
  <r>
    <x v="95"/>
    <x v="14"/>
    <x v="0"/>
    <x v="3"/>
    <x v="19"/>
    <s v="Jeep"/>
    <s v="Grand Cherokee"/>
    <n v="18128"/>
    <n v="57"/>
    <n v="1"/>
    <n v="2"/>
    <s v="Y"/>
    <n v="728"/>
    <s v="COMP"/>
    <s v="Allstate"/>
    <n v="0"/>
    <s v="NC"/>
  </r>
  <r>
    <x v="96"/>
    <x v="44"/>
    <x v="1"/>
    <x v="1"/>
    <x v="24"/>
    <s v="BMW"/>
    <s v="3 Series"/>
    <n v="19905"/>
    <n v="5"/>
    <n v="0"/>
    <n v="0"/>
    <s v="Y"/>
    <n v="579"/>
    <s v="COLL"/>
    <s v="Travelers"/>
    <n v="0"/>
    <s v="VA"/>
  </r>
  <r>
    <x v="97"/>
    <x v="0"/>
    <x v="0"/>
    <x v="1"/>
    <x v="24"/>
    <s v="Toyota"/>
    <s v="Corolla"/>
    <n v="4745"/>
    <n v="4"/>
    <n v="1"/>
    <n v="1"/>
    <s v="Y"/>
    <n v="695"/>
    <s v="COMP"/>
    <s v="USAA"/>
    <n v="500"/>
    <s v="TX"/>
  </r>
  <r>
    <x v="98"/>
    <x v="18"/>
    <x v="0"/>
    <x v="3"/>
    <x v="11"/>
    <s v="Honda"/>
    <s v="Civic"/>
    <n v="12400"/>
    <n v="19"/>
    <n v="2"/>
    <n v="0"/>
    <s v="N"/>
    <n v="759"/>
    <s v="LIAB"/>
    <s v="State Farm"/>
    <n v="0"/>
    <s v="TX"/>
  </r>
  <r>
    <x v="99"/>
    <x v="29"/>
    <x v="0"/>
    <x v="0"/>
    <x v="7"/>
    <s v="Jeep"/>
    <s v="Grand Cherokee"/>
    <n v="6643"/>
    <n v="16"/>
    <n v="0"/>
    <n v="1"/>
    <s v="Y"/>
    <n v="348"/>
    <s v="COMP"/>
    <s v="Liberty Mutual"/>
    <n v="15000"/>
    <s v="NY"/>
  </r>
  <r>
    <x v="100"/>
    <x v="47"/>
    <x v="1"/>
    <x v="2"/>
    <x v="15"/>
    <s v="BMW"/>
    <s v="X5"/>
    <n v="10927"/>
    <n v="29"/>
    <n v="0"/>
    <n v="1"/>
    <s v="Y"/>
    <n v="661"/>
    <s v="COMP"/>
    <s v="American Family"/>
    <n v="7500"/>
    <s v="PA"/>
  </r>
  <r>
    <x v="101"/>
    <x v="8"/>
    <x v="1"/>
    <x v="2"/>
    <x v="0"/>
    <s v="Ford"/>
    <s v="F-150"/>
    <n v="20237"/>
    <n v="40"/>
    <n v="1"/>
    <n v="2"/>
    <s v="Y"/>
    <n v="320"/>
    <s v="COLL"/>
    <s v="Nationwide"/>
    <n v="0"/>
    <s v="CO"/>
  </r>
  <r>
    <x v="102"/>
    <x v="40"/>
    <x v="0"/>
    <x v="2"/>
    <x v="24"/>
    <s v="Toyota"/>
    <s v="Corolla"/>
    <n v="10901"/>
    <n v="25"/>
    <n v="1"/>
    <n v="3"/>
    <s v="N"/>
    <n v="436"/>
    <s v="COMP"/>
    <s v="USAA"/>
    <n v="3000"/>
    <s v="PA"/>
  </r>
  <r>
    <x v="103"/>
    <x v="34"/>
    <x v="1"/>
    <x v="1"/>
    <x v="6"/>
    <s v="Nissan"/>
    <s v="Rogue"/>
    <n v="8972"/>
    <n v="54"/>
    <n v="0"/>
    <n v="3"/>
    <s v="N"/>
    <n v="337"/>
    <s v="COLL"/>
    <s v="Allstate"/>
    <n v="0"/>
    <s v="IL"/>
  </r>
  <r>
    <x v="104"/>
    <x v="13"/>
    <x v="0"/>
    <x v="3"/>
    <x v="13"/>
    <s v="BMW"/>
    <s v="5 Series"/>
    <n v="20794"/>
    <n v="55"/>
    <n v="0"/>
    <n v="0"/>
    <s v="Y"/>
    <n v="592"/>
    <s v="COLL"/>
    <s v="State Farm"/>
    <n v="3000"/>
    <s v="NC"/>
  </r>
  <r>
    <x v="105"/>
    <x v="17"/>
    <x v="0"/>
    <x v="1"/>
    <x v="2"/>
    <s v="Nissan"/>
    <s v="Sentra"/>
    <n v="14109"/>
    <n v="8"/>
    <n v="1"/>
    <n v="3"/>
    <s v="N"/>
    <n v="676"/>
    <s v="LIAB"/>
    <s v="Farmers"/>
    <n v="0"/>
    <s v="VA"/>
  </r>
  <r>
    <x v="106"/>
    <x v="0"/>
    <x v="1"/>
    <x v="0"/>
    <x v="7"/>
    <s v="Ford"/>
    <s v="Focus"/>
    <n v="6361"/>
    <n v="7"/>
    <n v="0"/>
    <n v="3"/>
    <s v="N"/>
    <n v="613"/>
    <s v="COLL"/>
    <s v="American Family"/>
    <n v="7500"/>
    <s v="PA"/>
  </r>
  <r>
    <x v="107"/>
    <x v="24"/>
    <x v="1"/>
    <x v="3"/>
    <x v="8"/>
    <s v="Toyota"/>
    <s v="RAV4"/>
    <n v="14552"/>
    <n v="42"/>
    <n v="1"/>
    <n v="1"/>
    <s v="Y"/>
    <n v="376"/>
    <s v="LIAB"/>
    <s v="Liberty Mutual"/>
    <n v="3000"/>
    <s v="MA"/>
  </r>
  <r>
    <x v="108"/>
    <x v="26"/>
    <x v="1"/>
    <x v="0"/>
    <x v="4"/>
    <s v="Honda"/>
    <s v="CR-V"/>
    <n v="17358"/>
    <n v="53"/>
    <n v="0"/>
    <n v="0"/>
    <s v="Y"/>
    <n v="675"/>
    <s v="COLL"/>
    <s v="Liberty Mutual"/>
    <n v="0"/>
    <s v="MD"/>
  </r>
  <r>
    <x v="109"/>
    <x v="22"/>
    <x v="1"/>
    <x v="1"/>
    <x v="24"/>
    <s v="Ford"/>
    <s v="Focus"/>
    <n v="5519"/>
    <n v="7"/>
    <n v="0"/>
    <n v="2"/>
    <s v="N"/>
    <n v="707"/>
    <s v="COLL"/>
    <s v="Farmers"/>
    <n v="500"/>
    <s v="FL"/>
  </r>
  <r>
    <x v="110"/>
    <x v="7"/>
    <x v="1"/>
    <x v="0"/>
    <x v="23"/>
    <s v="BMW"/>
    <s v="5 Series"/>
    <n v="21404"/>
    <n v="3"/>
    <n v="0"/>
    <n v="1"/>
    <s v="N"/>
    <n v="519"/>
    <s v="LIAB"/>
    <s v="Farmers"/>
    <n v="15000"/>
    <s v="IL"/>
  </r>
  <r>
    <x v="111"/>
    <x v="17"/>
    <x v="0"/>
    <x v="2"/>
    <x v="8"/>
    <s v="Honda"/>
    <s v="CR-V"/>
    <n v="17585"/>
    <n v="9"/>
    <n v="2"/>
    <n v="1"/>
    <s v="N"/>
    <n v="366"/>
    <s v="LIAB"/>
    <s v="Travelers"/>
    <n v="1200"/>
    <s v="MI"/>
  </r>
  <r>
    <x v="112"/>
    <x v="42"/>
    <x v="0"/>
    <x v="0"/>
    <x v="24"/>
    <s v="BMW"/>
    <s v="3 Series"/>
    <n v="6976"/>
    <n v="55"/>
    <n v="0"/>
    <n v="0"/>
    <s v="N"/>
    <n v="326"/>
    <s v="COLL"/>
    <s v="Travelers"/>
    <n v="3000"/>
    <s v="NJ"/>
  </r>
  <r>
    <x v="113"/>
    <x v="26"/>
    <x v="1"/>
    <x v="0"/>
    <x v="5"/>
    <s v="Toyota"/>
    <s v="Camry"/>
    <n v="13134"/>
    <n v="50"/>
    <n v="2"/>
    <n v="3"/>
    <s v="N"/>
    <n v="838"/>
    <s v="COLL"/>
    <s v="Liberty Mutual"/>
    <n v="0"/>
    <s v="OH"/>
  </r>
  <r>
    <x v="114"/>
    <x v="18"/>
    <x v="1"/>
    <x v="2"/>
    <x v="8"/>
    <s v="Nissan"/>
    <s v="Rogue"/>
    <n v="19952"/>
    <n v="20"/>
    <n v="0"/>
    <n v="2"/>
    <s v="Y"/>
    <n v="486"/>
    <s v="COMP"/>
    <s v="Liberty Mutual"/>
    <n v="0"/>
    <s v="FL"/>
  </r>
  <r>
    <x v="115"/>
    <x v="48"/>
    <x v="0"/>
    <x v="3"/>
    <x v="9"/>
    <s v="Honda"/>
    <s v="Accord"/>
    <n v="10388"/>
    <n v="33"/>
    <n v="1"/>
    <n v="1"/>
    <s v="Y"/>
    <n v="556"/>
    <s v="COMP"/>
    <s v="Travelers"/>
    <n v="1200"/>
    <s v="OH"/>
  </r>
  <r>
    <x v="116"/>
    <x v="38"/>
    <x v="0"/>
    <x v="2"/>
    <x v="0"/>
    <s v="Honda"/>
    <s v="CR-V"/>
    <n v="22026"/>
    <n v="41"/>
    <n v="0"/>
    <n v="3"/>
    <s v="Y"/>
    <n v="645"/>
    <s v="LIAB"/>
    <s v="State Farm"/>
    <n v="0"/>
    <s v="NY"/>
  </r>
  <r>
    <x v="117"/>
    <x v="20"/>
    <x v="1"/>
    <x v="3"/>
    <x v="15"/>
    <s v="Honda"/>
    <s v="Accord"/>
    <n v="23254"/>
    <n v="4"/>
    <n v="1"/>
    <n v="3"/>
    <s v="Y"/>
    <n v="596"/>
    <s v="LIAB"/>
    <s v="Farmers"/>
    <n v="15000"/>
    <s v="GA"/>
  </r>
  <r>
    <x v="118"/>
    <x v="30"/>
    <x v="1"/>
    <x v="3"/>
    <x v="18"/>
    <s v="Ford"/>
    <s v="Focus"/>
    <n v="7284"/>
    <n v="55"/>
    <n v="1"/>
    <n v="2"/>
    <s v="Y"/>
    <n v="626"/>
    <s v="COMP"/>
    <s v="Nationwide"/>
    <n v="0"/>
    <s v="NC"/>
  </r>
  <r>
    <x v="119"/>
    <x v="7"/>
    <x v="0"/>
    <x v="0"/>
    <x v="14"/>
    <s v="Toyota"/>
    <s v="Corolla"/>
    <n v="15587"/>
    <n v="26"/>
    <n v="1"/>
    <n v="0"/>
    <s v="Y"/>
    <n v="635"/>
    <s v="LIAB"/>
    <s v="USAA"/>
    <n v="500"/>
    <s v="PA"/>
  </r>
  <r>
    <x v="120"/>
    <x v="49"/>
    <x v="1"/>
    <x v="1"/>
    <x v="23"/>
    <s v="Ford"/>
    <s v="Focus"/>
    <n v="3759"/>
    <n v="33"/>
    <n v="1"/>
    <n v="2"/>
    <s v="N"/>
    <n v="546"/>
    <s v="COMP"/>
    <s v="American Family"/>
    <n v="3000"/>
    <s v="CA"/>
  </r>
  <r>
    <x v="121"/>
    <x v="44"/>
    <x v="0"/>
    <x v="1"/>
    <x v="5"/>
    <s v="Nissan"/>
    <s v="Sentra"/>
    <n v="20586"/>
    <n v="5"/>
    <n v="0"/>
    <n v="1"/>
    <s v="Y"/>
    <n v="570"/>
    <s v="LIAB"/>
    <s v="USAA"/>
    <n v="7500"/>
    <s v="AZ"/>
  </r>
  <r>
    <x v="122"/>
    <x v="50"/>
    <x v="1"/>
    <x v="2"/>
    <x v="11"/>
    <s v="Toyota"/>
    <s v="Corolla"/>
    <n v="15228"/>
    <n v="43"/>
    <n v="1"/>
    <n v="1"/>
    <s v="Y"/>
    <n v="503"/>
    <s v="LIAB"/>
    <s v="Travelers"/>
    <n v="7500"/>
    <s v="MA"/>
  </r>
  <r>
    <x v="123"/>
    <x v="20"/>
    <x v="0"/>
    <x v="2"/>
    <x v="11"/>
    <s v="Ford"/>
    <s v="Focus"/>
    <n v="20017"/>
    <n v="1"/>
    <n v="0"/>
    <n v="2"/>
    <s v="Y"/>
    <n v="443"/>
    <s v="COLL"/>
    <s v="American Family"/>
    <n v="3000"/>
    <s v="PA"/>
  </r>
  <r>
    <x v="124"/>
    <x v="45"/>
    <x v="1"/>
    <x v="3"/>
    <x v="3"/>
    <s v="Ford"/>
    <s v="Focus"/>
    <n v="21445"/>
    <n v="25"/>
    <n v="1"/>
    <n v="0"/>
    <s v="N"/>
    <n v="639"/>
    <s v="LIAB"/>
    <s v="Geico"/>
    <n v="7500"/>
    <s v="MO"/>
  </r>
  <r>
    <x v="125"/>
    <x v="33"/>
    <x v="1"/>
    <x v="2"/>
    <x v="5"/>
    <s v="Nissan"/>
    <s v="Sentra"/>
    <n v="24482"/>
    <n v="17"/>
    <n v="1"/>
    <n v="0"/>
    <s v="Y"/>
    <n v="791"/>
    <s v="COMP"/>
    <s v="Travelers"/>
    <n v="7500"/>
    <s v="OH"/>
  </r>
  <r>
    <x v="126"/>
    <x v="16"/>
    <x v="1"/>
    <x v="0"/>
    <x v="12"/>
    <s v="Jeep"/>
    <s v="Wrangler"/>
    <n v="9251"/>
    <n v="54"/>
    <n v="1"/>
    <n v="1"/>
    <s v="N"/>
    <n v="455"/>
    <s v="COLL"/>
    <s v="Allstate"/>
    <n v="7500"/>
    <s v="MA"/>
  </r>
  <r>
    <x v="127"/>
    <x v="12"/>
    <x v="1"/>
    <x v="3"/>
    <x v="7"/>
    <s v="Ford"/>
    <s v="Focus"/>
    <n v="22990"/>
    <n v="28"/>
    <n v="0"/>
    <n v="0"/>
    <s v="N"/>
    <n v="605"/>
    <s v="COMP"/>
    <s v="Farmers"/>
    <n v="1200"/>
    <s v="IL"/>
  </r>
  <r>
    <x v="128"/>
    <x v="24"/>
    <x v="1"/>
    <x v="1"/>
    <x v="1"/>
    <s v="Nissan"/>
    <s v="Sentra"/>
    <n v="21366"/>
    <n v="44"/>
    <n v="0"/>
    <n v="0"/>
    <s v="Y"/>
    <n v="688"/>
    <s v="COLL"/>
    <s v="USAA"/>
    <n v="0"/>
    <s v="MI"/>
  </r>
  <r>
    <x v="129"/>
    <x v="20"/>
    <x v="0"/>
    <x v="2"/>
    <x v="24"/>
    <s v="Nissan"/>
    <s v="Rogue"/>
    <n v="11403"/>
    <n v="1"/>
    <n v="0"/>
    <n v="0"/>
    <s v="Y"/>
    <n v="577"/>
    <s v="LIAB"/>
    <s v="Farmers"/>
    <n v="0"/>
    <s v="FL"/>
  </r>
  <r>
    <x v="130"/>
    <x v="27"/>
    <x v="1"/>
    <x v="0"/>
    <x v="20"/>
    <s v="Toyota"/>
    <s v="RAV4"/>
    <n v="20401"/>
    <n v="23"/>
    <n v="2"/>
    <n v="0"/>
    <s v="Y"/>
    <n v="402"/>
    <s v="COLL"/>
    <s v="USAA"/>
    <n v="15000"/>
    <s v="FL"/>
  </r>
  <r>
    <x v="131"/>
    <x v="50"/>
    <x v="0"/>
    <x v="2"/>
    <x v="7"/>
    <s v="Honda"/>
    <s v="Accord"/>
    <n v="24393"/>
    <n v="42"/>
    <n v="1"/>
    <n v="3"/>
    <s v="Y"/>
    <n v="594"/>
    <s v="COLL"/>
    <s v="Farmers"/>
    <n v="0"/>
    <s v="NY"/>
  </r>
  <r>
    <x v="132"/>
    <x v="25"/>
    <x v="1"/>
    <x v="0"/>
    <x v="7"/>
    <s v="Toyota"/>
    <s v="Camry"/>
    <n v="16693"/>
    <n v="42"/>
    <n v="0"/>
    <n v="1"/>
    <s v="N"/>
    <n v="490"/>
    <s v="LIAB"/>
    <s v="Farmers"/>
    <n v="0"/>
    <s v="TX"/>
  </r>
  <r>
    <x v="133"/>
    <x v="33"/>
    <x v="1"/>
    <x v="2"/>
    <x v="1"/>
    <s v="Ford"/>
    <s v="Focus"/>
    <n v="24014"/>
    <n v="17"/>
    <n v="1"/>
    <n v="1"/>
    <s v="Y"/>
    <n v="816"/>
    <s v="COLL"/>
    <s v="Farmers"/>
    <n v="500"/>
    <s v="FL"/>
  </r>
  <r>
    <x v="134"/>
    <x v="36"/>
    <x v="0"/>
    <x v="2"/>
    <x v="17"/>
    <s v="Ford"/>
    <s v="F-150"/>
    <n v="5035"/>
    <n v="23"/>
    <n v="1"/>
    <n v="1"/>
    <s v="Y"/>
    <n v="715"/>
    <s v="LIAB"/>
    <s v="Travelers"/>
    <n v="1200"/>
    <s v="FL"/>
  </r>
  <r>
    <x v="135"/>
    <x v="38"/>
    <x v="0"/>
    <x v="3"/>
    <x v="5"/>
    <s v="Honda"/>
    <s v="Civic"/>
    <n v="7376"/>
    <n v="39"/>
    <n v="0"/>
    <n v="1"/>
    <s v="Y"/>
    <n v="682"/>
    <s v="COLL"/>
    <s v="Travelers"/>
    <n v="15000"/>
    <s v="IN"/>
  </r>
  <r>
    <x v="136"/>
    <x v="26"/>
    <x v="1"/>
    <x v="0"/>
    <x v="21"/>
    <s v="Honda"/>
    <s v="Civic"/>
    <n v="20219"/>
    <n v="50"/>
    <n v="1"/>
    <n v="3"/>
    <s v="N"/>
    <n v="379"/>
    <s v="LIAB"/>
    <s v="Geico"/>
    <n v="0"/>
    <s v="IN"/>
  </r>
  <r>
    <x v="136"/>
    <x v="26"/>
    <x v="1"/>
    <x v="0"/>
    <x v="21"/>
    <s v="Honda"/>
    <s v="Civic"/>
    <n v="20219"/>
    <n v="50"/>
    <n v="1"/>
    <n v="3"/>
    <s v="N"/>
    <n v="379"/>
    <s v="LIAB"/>
    <s v="Geico"/>
    <n v="0"/>
    <s v="IN"/>
  </r>
  <r>
    <x v="137"/>
    <x v="14"/>
    <x v="1"/>
    <x v="0"/>
    <x v="3"/>
    <s v="BMW"/>
    <s v=" 3 Series"/>
    <n v="8391"/>
    <n v="57"/>
    <n v="1"/>
    <n v="1"/>
    <s v="Y"/>
    <n v="510"/>
    <s v="LIAB"/>
    <s v="American Family"/>
    <n v="15000"/>
    <s v="NY"/>
  </r>
  <r>
    <x v="138"/>
    <x v="14"/>
    <x v="1"/>
    <x v="1"/>
    <x v="12"/>
    <s v="Nissan"/>
    <s v="Altima"/>
    <n v="19818"/>
    <n v="56"/>
    <n v="1"/>
    <n v="2"/>
    <s v="Y"/>
    <n v="773"/>
    <s v="LIAB"/>
    <s v="Farmers"/>
    <n v="0"/>
    <s v="CO"/>
  </r>
  <r>
    <x v="139"/>
    <x v="47"/>
    <x v="0"/>
    <x v="0"/>
    <x v="3"/>
    <s v="Toyota"/>
    <s v="Camry"/>
    <n v="16883"/>
    <n v="30"/>
    <n v="2"/>
    <n v="0"/>
    <s v="Y"/>
    <n v="361"/>
    <s v="COMP"/>
    <s v="Nationwide"/>
    <n v="0"/>
    <s v="MI"/>
  </r>
  <r>
    <x v="140"/>
    <x v="37"/>
    <x v="0"/>
    <x v="0"/>
    <x v="21"/>
    <s v="Chevrolet"/>
    <s v="Malibu"/>
    <n v="15533"/>
    <n v="25"/>
    <n v="1"/>
    <n v="1"/>
    <s v="Y"/>
    <n v="436"/>
    <s v="LIAB"/>
    <s v="USAA"/>
    <n v="0"/>
    <s v="PA"/>
  </r>
  <r>
    <x v="141"/>
    <x v="47"/>
    <x v="1"/>
    <x v="0"/>
    <x v="18"/>
    <s v="Honda"/>
    <s v="Civic"/>
    <n v="3744"/>
    <n v="31"/>
    <n v="1"/>
    <n v="3"/>
    <s v="Y"/>
    <n v="734"/>
    <s v="LIAB"/>
    <s v="Liberty Mutual"/>
    <n v="500"/>
    <s v="GA"/>
  </r>
  <r>
    <x v="142"/>
    <x v="12"/>
    <x v="0"/>
    <x v="0"/>
    <x v="17"/>
    <s v="Honda"/>
    <s v="Civic"/>
    <n v="4055"/>
    <n v="28"/>
    <n v="1"/>
    <n v="0"/>
    <s v="Y"/>
    <n v="511"/>
    <s v="COMP"/>
    <s v="Geico"/>
    <n v="0"/>
    <s v="NJ"/>
  </r>
  <r>
    <x v="143"/>
    <x v="5"/>
    <x v="1"/>
    <x v="2"/>
    <x v="20"/>
    <s v="Toyota"/>
    <s v="Corolla"/>
    <n v="17383"/>
    <n v="39"/>
    <n v="1"/>
    <n v="0"/>
    <s v="Y"/>
    <n v="443"/>
    <s v="LIAB"/>
    <s v="Farmers"/>
    <n v="500"/>
    <s v="MO"/>
  </r>
  <r>
    <x v="144"/>
    <x v="18"/>
    <x v="1"/>
    <x v="3"/>
    <x v="20"/>
    <s v="Ford"/>
    <s v="F-150"/>
    <n v="24633"/>
    <n v="18"/>
    <n v="0"/>
    <n v="1"/>
    <s v="N"/>
    <n v="581"/>
    <s v="COMP"/>
    <s v="Travelers"/>
    <n v="0"/>
    <s v="VA"/>
  </r>
  <r>
    <x v="145"/>
    <x v="21"/>
    <x v="1"/>
    <x v="2"/>
    <x v="24"/>
    <s v="Chevrolet"/>
    <s v="EquiNx"/>
    <n v="13444"/>
    <n v="34"/>
    <n v="1"/>
    <n v="0"/>
    <s v="N"/>
    <n v="685"/>
    <s v="COMP"/>
    <s v="Travelers"/>
    <n v="15000"/>
    <s v="GA"/>
  </r>
  <r>
    <x v="146"/>
    <x v="42"/>
    <x v="0"/>
    <x v="3"/>
    <x v="6"/>
    <s v="Honda"/>
    <s v="Accord"/>
    <n v="4888"/>
    <n v="52"/>
    <n v="1"/>
    <n v="1"/>
    <s v="Y"/>
    <n v="842"/>
    <s v="COMP"/>
    <s v="Liberty Mutual"/>
    <n v="500"/>
    <s v="NC"/>
  </r>
  <r>
    <x v="147"/>
    <x v="43"/>
    <x v="0"/>
    <x v="2"/>
    <x v="8"/>
    <s v="Ford"/>
    <s v="F-150"/>
    <n v="20551"/>
    <n v="14"/>
    <n v="0"/>
    <n v="1"/>
    <s v="N"/>
    <n v="340"/>
    <s v="COMP"/>
    <s v="Allstate"/>
    <n v="500"/>
    <s v="TN"/>
  </r>
  <r>
    <x v="148"/>
    <x v="43"/>
    <x v="0"/>
    <x v="3"/>
    <x v="4"/>
    <s v="Honda"/>
    <s v="Civic"/>
    <n v="6844"/>
    <n v="12"/>
    <n v="0"/>
    <n v="3"/>
    <s v="Y"/>
    <n v="509"/>
    <s v="COLL"/>
    <s v="Allstate"/>
    <n v="3000"/>
    <s v="MI"/>
  </r>
  <r>
    <x v="149"/>
    <x v="23"/>
    <x v="1"/>
    <x v="3"/>
    <x v="13"/>
    <s v="Ford"/>
    <s v="Focus"/>
    <n v="19803"/>
    <n v="23"/>
    <n v="1"/>
    <n v="0"/>
    <s v="N"/>
    <n v="627"/>
    <s v="COMP"/>
    <s v="USAA"/>
    <n v="3000"/>
    <s v="VA"/>
  </r>
  <r>
    <x v="150"/>
    <x v="20"/>
    <x v="1"/>
    <x v="0"/>
    <x v="18"/>
    <s v="Honda"/>
    <s v="Civic"/>
    <n v="11545"/>
    <n v="0"/>
    <n v="1"/>
    <n v="2"/>
    <s v="N"/>
    <n v="602"/>
    <s v="COMP"/>
    <s v="Allstate"/>
    <n v="3000"/>
    <s v="GA"/>
  </r>
  <r>
    <x v="151"/>
    <x v="23"/>
    <x v="1"/>
    <x v="0"/>
    <x v="23"/>
    <s v="BMW"/>
    <s v="X5"/>
    <n v="14061"/>
    <n v="24"/>
    <n v="1"/>
    <n v="3"/>
    <s v="N"/>
    <n v="771"/>
    <s v="COMP"/>
    <s v="USAA"/>
    <n v="0"/>
    <s v="OH"/>
  </r>
  <r>
    <x v="152"/>
    <x v="2"/>
    <x v="1"/>
    <x v="1"/>
    <x v="9"/>
    <s v="BMW"/>
    <s v="X5"/>
    <n v="4924"/>
    <n v="44"/>
    <n v="0"/>
    <n v="0"/>
    <s v="Y"/>
    <n v="306"/>
    <s v="COLL"/>
    <s v="Progressive"/>
    <n v="500"/>
    <s v="NY"/>
  </r>
  <r>
    <x v="153"/>
    <x v="51"/>
    <x v="0"/>
    <x v="2"/>
    <x v="16"/>
    <s v="BMW"/>
    <s v="5 Series"/>
    <n v="15229"/>
    <n v="47"/>
    <n v="1"/>
    <n v="3"/>
    <s v="Y"/>
    <n v="794"/>
    <s v="LIAB"/>
    <s v="Nationwide"/>
    <n v="0"/>
    <s v="TX"/>
  </r>
  <r>
    <x v="154"/>
    <x v="4"/>
    <x v="1"/>
    <x v="1"/>
    <x v="4"/>
    <s v="Toyota"/>
    <s v="RAV4"/>
    <n v="12002"/>
    <n v="32"/>
    <n v="0"/>
    <n v="0"/>
    <s v="Y"/>
    <n v="740"/>
    <s v="COMP"/>
    <s v="Geico"/>
    <n v="0"/>
    <s v="MA"/>
  </r>
  <r>
    <x v="155"/>
    <x v="22"/>
    <x v="0"/>
    <x v="0"/>
    <x v="5"/>
    <s v="BMW"/>
    <s v="5 Series"/>
    <n v="14614"/>
    <n v="9"/>
    <n v="1"/>
    <n v="0"/>
    <s v="N"/>
    <n v="715"/>
    <s v="COLL"/>
    <s v="American Family"/>
    <n v="500"/>
    <s v="GA"/>
  </r>
  <r>
    <x v="156"/>
    <x v="49"/>
    <x v="1"/>
    <x v="3"/>
    <x v="3"/>
    <s v="Toyota"/>
    <s v="Camry"/>
    <n v="10528"/>
    <n v="32"/>
    <n v="2"/>
    <n v="2"/>
    <s v="N"/>
    <n v="577"/>
    <s v="COMP"/>
    <s v="Geico"/>
    <n v="1200"/>
    <s v="IN"/>
  </r>
  <r>
    <x v="157"/>
    <x v="52"/>
    <x v="1"/>
    <x v="2"/>
    <x v="9"/>
    <s v="Ford"/>
    <s v="F-150"/>
    <n v="9788"/>
    <n v="34"/>
    <n v="0"/>
    <n v="3"/>
    <s v="N"/>
    <n v="378"/>
    <s v="COLL"/>
    <s v="Progressive"/>
    <n v="500"/>
    <s v="MO"/>
  </r>
  <r>
    <x v="158"/>
    <x v="34"/>
    <x v="1"/>
    <x v="3"/>
    <x v="2"/>
    <s v="Honda"/>
    <s v="CR-V"/>
    <n v="5569"/>
    <n v="51"/>
    <n v="2"/>
    <n v="1"/>
    <s v="Y"/>
    <n v="400"/>
    <s v="COLL"/>
    <s v="Allstate"/>
    <n v="0"/>
    <s v="WA"/>
  </r>
  <r>
    <x v="159"/>
    <x v="5"/>
    <x v="1"/>
    <x v="1"/>
    <x v="21"/>
    <s v="Ford"/>
    <s v="F-150"/>
    <n v="23778"/>
    <n v="38"/>
    <n v="1"/>
    <n v="1"/>
    <s v="Y"/>
    <n v="664"/>
    <s v="LIAB"/>
    <s v="Liberty Mutual"/>
    <n v="7500"/>
    <s v="PA"/>
  </r>
  <r>
    <x v="160"/>
    <x v="50"/>
    <x v="1"/>
    <x v="1"/>
    <x v="22"/>
    <s v="Jeep"/>
    <s v="Grand Cherokee"/>
    <n v="11075"/>
    <n v="45"/>
    <n v="0"/>
    <n v="1"/>
    <s v="Y"/>
    <n v="689"/>
    <s v="LIAB"/>
    <s v="Progressive"/>
    <n v="7500"/>
    <s v="WA"/>
  </r>
  <r>
    <x v="161"/>
    <x v="40"/>
    <x v="0"/>
    <x v="2"/>
    <x v="4"/>
    <s v="Ford"/>
    <s v="Focus"/>
    <n v="14793"/>
    <n v="23"/>
    <n v="0"/>
    <n v="0"/>
    <s v="Y"/>
    <n v="491"/>
    <s v="COLL"/>
    <s v="Nationwide"/>
    <n v="7500"/>
    <s v="FL"/>
  </r>
  <r>
    <x v="162"/>
    <x v="7"/>
    <x v="0"/>
    <x v="3"/>
    <x v="7"/>
    <s v="Toyota"/>
    <s v="Corolla"/>
    <n v="15623"/>
    <n v="3"/>
    <n v="0"/>
    <n v="1"/>
    <s v="N"/>
    <n v="386"/>
    <s v="LIAB"/>
    <s v="Travelers"/>
    <n v="500"/>
    <s v="MO"/>
  </r>
  <r>
    <x v="163"/>
    <x v="48"/>
    <x v="0"/>
    <x v="1"/>
    <x v="9"/>
    <s v="Honda"/>
    <s v="Accord"/>
    <n v="12867"/>
    <n v="33"/>
    <n v="1"/>
    <n v="0"/>
    <s v="Y"/>
    <n v="471"/>
    <s v="COLL"/>
    <s v="Farmers"/>
    <n v="7500"/>
    <s v="MI"/>
  </r>
  <r>
    <x v="164"/>
    <x v="53"/>
    <x v="0"/>
    <x v="3"/>
    <x v="17"/>
    <s v="Honda"/>
    <s v="Accord"/>
    <n v="22457"/>
    <n v="28"/>
    <n v="0"/>
    <n v="1"/>
    <s v="Y"/>
    <n v="438"/>
    <s v="COLL"/>
    <s v="State Farm"/>
    <n v="7500"/>
    <s v="WA"/>
  </r>
  <r>
    <x v="165"/>
    <x v="34"/>
    <x v="1"/>
    <x v="1"/>
    <x v="1"/>
    <s v="Nissan"/>
    <s v="Sentra"/>
    <n v="17110"/>
    <n v="51"/>
    <n v="0"/>
    <n v="1"/>
    <s v="N"/>
    <n v="505"/>
    <s v="COLL"/>
    <s v="USAA"/>
    <n v="0"/>
    <s v="CO"/>
  </r>
  <r>
    <x v="165"/>
    <x v="34"/>
    <x v="1"/>
    <x v="1"/>
    <x v="1"/>
    <s v="Nissan"/>
    <s v="Sentra"/>
    <n v="17110"/>
    <n v="51"/>
    <n v="0"/>
    <n v="1"/>
    <s v="N"/>
    <n v="505"/>
    <s v="COLL"/>
    <s v="USAA"/>
    <n v="0"/>
    <s v="CO"/>
  </r>
  <r>
    <x v="166"/>
    <x v="18"/>
    <x v="0"/>
    <x v="1"/>
    <x v="3"/>
    <s v="Honda"/>
    <s v="Accord"/>
    <n v="15322"/>
    <n v="20"/>
    <n v="1"/>
    <n v="1"/>
    <s v="Y"/>
    <n v="504"/>
    <s v="LIAB"/>
    <s v="Travelers"/>
    <n v="0"/>
    <s v="IN"/>
  </r>
  <r>
    <x v="167"/>
    <x v="7"/>
    <x v="1"/>
    <x v="1"/>
    <x v="6"/>
    <s v="Honda"/>
    <s v="Accord"/>
    <n v="12546"/>
    <n v="3"/>
    <n v="1"/>
    <n v="3"/>
    <s v="N"/>
    <n v="442"/>
    <s v="LIAB"/>
    <s v="Farmers"/>
    <n v="500"/>
    <s v="NC"/>
  </r>
  <r>
    <x v="168"/>
    <x v="8"/>
    <x v="0"/>
    <x v="1"/>
    <x v="2"/>
    <s v="Toyota"/>
    <s v="Corolla"/>
    <n v="22593"/>
    <n v="41"/>
    <n v="1"/>
    <n v="1"/>
    <s v="Y"/>
    <n v="818"/>
    <s v="LIAB"/>
    <s v="Liberty Mutual"/>
    <n v="0"/>
    <s v="AZ"/>
  </r>
  <r>
    <x v="169"/>
    <x v="24"/>
    <x v="1"/>
    <x v="2"/>
    <x v="14"/>
    <s v="Honda"/>
    <s v="Accord"/>
    <n v="8450"/>
    <n v="42"/>
    <n v="0"/>
    <n v="2"/>
    <s v="N"/>
    <n v="639"/>
    <s v="COLL"/>
    <s v="Geico"/>
    <n v="0"/>
    <s v="FL"/>
  </r>
  <r>
    <x v="170"/>
    <x v="29"/>
    <x v="0"/>
    <x v="0"/>
    <x v="8"/>
    <s v="Ford"/>
    <s v="Focus"/>
    <n v="18173"/>
    <n v="14"/>
    <n v="2"/>
    <n v="2"/>
    <s v="Y"/>
    <n v="653"/>
    <s v="COMP"/>
    <s v="Nationwide"/>
    <n v="0"/>
    <s v="MI"/>
  </r>
  <r>
    <x v="171"/>
    <x v="37"/>
    <x v="0"/>
    <x v="2"/>
    <x v="18"/>
    <s v="Honda"/>
    <s v="Accord"/>
    <n v="13220"/>
    <n v="26"/>
    <n v="1"/>
    <n v="0"/>
    <s v="Y"/>
    <n v="794"/>
    <s v="COLL"/>
    <s v="Nationwide"/>
    <n v="0"/>
    <s v="NJ"/>
  </r>
  <r>
    <x v="172"/>
    <x v="54"/>
    <x v="0"/>
    <x v="1"/>
    <x v="8"/>
    <s v="Honda"/>
    <s v="Accord"/>
    <n v="23635"/>
    <n v="11"/>
    <n v="0"/>
    <n v="3"/>
    <s v="N"/>
    <n v="705"/>
    <s v="COMP"/>
    <s v="American Family"/>
    <n v="500"/>
    <s v="NJ"/>
  </r>
  <r>
    <x v="173"/>
    <x v="11"/>
    <x v="1"/>
    <x v="1"/>
    <x v="4"/>
    <s v="Honda"/>
    <s v="Civic"/>
    <n v="12120"/>
    <n v="39"/>
    <n v="1"/>
    <n v="0"/>
    <s v="Y"/>
    <n v="491"/>
    <s v="COLL"/>
    <s v="USAA"/>
    <n v="500"/>
    <s v="NJ"/>
  </r>
  <r>
    <x v="174"/>
    <x v="17"/>
    <x v="0"/>
    <x v="1"/>
    <x v="0"/>
    <s v="Ford"/>
    <s v="Focus"/>
    <n v="23031"/>
    <n v="6"/>
    <n v="1"/>
    <n v="0"/>
    <s v="N"/>
    <n v="660"/>
    <s v="COLL"/>
    <s v="American Family"/>
    <n v="0"/>
    <s v="MI"/>
  </r>
  <r>
    <x v="175"/>
    <x v="55"/>
    <x v="1"/>
    <x v="2"/>
    <x v="19"/>
    <s v="Honda"/>
    <s v="Accord"/>
    <n v="6862"/>
    <n v="40"/>
    <n v="0"/>
    <n v="0"/>
    <s v="Y"/>
    <n v="682"/>
    <s v="LIAB"/>
    <s v="Progressive"/>
    <n v="7500"/>
    <s v="VA"/>
  </r>
  <r>
    <x v="176"/>
    <x v="5"/>
    <x v="0"/>
    <x v="1"/>
    <x v="10"/>
    <s v="Honda"/>
    <s v="Accord"/>
    <n v="23824"/>
    <n v="36"/>
    <n v="2"/>
    <n v="3"/>
    <s v="Y"/>
    <n v="470"/>
    <s v="COLL"/>
    <s v="Farmers"/>
    <n v="0"/>
    <s v=" PA "/>
  </r>
  <r>
    <x v="177"/>
    <x v="18"/>
    <x v="1"/>
    <x v="2"/>
    <x v="24"/>
    <s v="Toyota"/>
    <s v="Corolla"/>
    <n v="7473"/>
    <n v="21"/>
    <n v="1"/>
    <n v="2"/>
    <s v="Y"/>
    <n v="806"/>
    <s v="COLL"/>
    <s v="Nationwide"/>
    <n v="7500"/>
    <s v="NJ"/>
  </r>
  <r>
    <x v="178"/>
    <x v="49"/>
    <x v="0"/>
    <x v="2"/>
    <x v="3"/>
    <s v="Toyota"/>
    <s v="Camry"/>
    <n v="12571"/>
    <n v="33"/>
    <n v="0"/>
    <n v="0"/>
    <s v="Y"/>
    <n v="595"/>
    <s v="COMP"/>
    <s v="Nationwide"/>
    <n v="15000"/>
    <s v="IN"/>
  </r>
  <r>
    <x v="179"/>
    <x v="19"/>
    <x v="0"/>
    <x v="2"/>
    <x v="17"/>
    <s v="BMW"/>
    <s v="5 Series"/>
    <n v="20761"/>
    <n v="34"/>
    <n v="2"/>
    <n v="1"/>
    <s v="Y"/>
    <n v="523"/>
    <s v="COLL"/>
    <s v="Geico"/>
    <n v="500"/>
    <s v="MI"/>
  </r>
  <r>
    <x v="180"/>
    <x v="55"/>
    <x v="0"/>
    <x v="0"/>
    <x v="16"/>
    <s v="Toyota"/>
    <s v="RAV4"/>
    <n v="14495"/>
    <n v="37"/>
    <n v="0"/>
    <n v="2"/>
    <s v="Y"/>
    <n v="472"/>
    <s v="COLL"/>
    <s v="Farmers"/>
    <n v="1200"/>
    <s v="MO"/>
  </r>
  <r>
    <x v="181"/>
    <x v="3"/>
    <x v="1"/>
    <x v="2"/>
    <x v="11"/>
    <s v="Chevrolet"/>
    <s v="Silverado"/>
    <n v="12087"/>
    <n v="18"/>
    <n v="2"/>
    <n v="0"/>
    <s v="Y"/>
    <n v="449"/>
    <s v="LIAB"/>
    <s v="USAA"/>
    <n v="500"/>
    <s v="CO"/>
  </r>
  <r>
    <x v="182"/>
    <x v="49"/>
    <x v="0"/>
    <x v="3"/>
    <x v="15"/>
    <s v="Chevrolet"/>
    <s v="Malibu"/>
    <n v="17810"/>
    <n v="33"/>
    <n v="2"/>
    <n v="0"/>
    <s v="N"/>
    <n v="827"/>
    <s v="LIAB"/>
    <s v="Farmers"/>
    <n v="3000"/>
    <s v="NJ"/>
  </r>
  <r>
    <x v="183"/>
    <x v="49"/>
    <x v="0"/>
    <x v="2"/>
    <x v="21"/>
    <s v="Toyota"/>
    <s v="Corolla"/>
    <n v="23802"/>
    <n v="31"/>
    <n v="0"/>
    <n v="2"/>
    <s v="N"/>
    <n v="523"/>
    <s v="COLL"/>
    <s v="Allstate"/>
    <n v="15000"/>
    <s v="NC"/>
  </r>
  <r>
    <x v="184"/>
    <x v="18"/>
    <x v="0"/>
    <x v="3"/>
    <x v="7"/>
    <s v="Jeep"/>
    <s v="Wrangler"/>
    <n v="21551"/>
    <n v="19"/>
    <n v="0"/>
    <n v="3"/>
    <s v="Y"/>
    <n v="347"/>
    <s v="COMP"/>
    <s v="Nationwide"/>
    <n v="0"/>
    <s v="FL"/>
  </r>
  <r>
    <x v="185"/>
    <x v="42"/>
    <x v="0"/>
    <x v="1"/>
    <x v="8"/>
    <s v="Toyota"/>
    <s v="Corolla"/>
    <n v="9629"/>
    <n v="55"/>
    <n v="2"/>
    <n v="1"/>
    <s v="Y"/>
    <n v="580"/>
    <s v="COMP"/>
    <s v="USAA"/>
    <n v="1200"/>
    <s v="NY"/>
  </r>
  <r>
    <x v="186"/>
    <x v="40"/>
    <x v="1"/>
    <x v="0"/>
    <x v="12"/>
    <s v="Chevrolet"/>
    <s v="EquiNx"/>
    <n v="13010"/>
    <n v="24"/>
    <n v="1"/>
    <n v="3"/>
    <s v="Y"/>
    <n v="397"/>
    <s v="COMP"/>
    <s v="Allstate"/>
    <n v="15000"/>
    <s v="NY"/>
  </r>
  <r>
    <x v="187"/>
    <x v="2"/>
    <x v="0"/>
    <x v="2"/>
    <x v="1"/>
    <s v="Ford"/>
    <s v="Focus"/>
    <n v="7493"/>
    <n v="45"/>
    <n v="0"/>
    <n v="3"/>
    <s v="Y"/>
    <n v="370"/>
    <s v="LIAB"/>
    <s v="American Family"/>
    <n v="0"/>
    <s v="MD"/>
  </r>
  <r>
    <x v="188"/>
    <x v="25"/>
    <x v="0"/>
    <x v="1"/>
    <x v="24"/>
    <s v="Honda"/>
    <s v="Civic"/>
    <n v="16490"/>
    <n v="39"/>
    <n v="2"/>
    <n v="1"/>
    <s v="Y"/>
    <n v="388"/>
    <s v="COMP"/>
    <s v="Progressive"/>
    <n v="0"/>
    <s v="MO"/>
  </r>
  <r>
    <x v="189"/>
    <x v="2"/>
    <x v="1"/>
    <x v="3"/>
    <x v="10"/>
    <s v="Ford"/>
    <s v="F-150"/>
    <n v="11119"/>
    <n v="46"/>
    <n v="2"/>
    <n v="0"/>
    <s v="Y"/>
    <n v="591"/>
    <s v="LIAB"/>
    <s v="State Farm"/>
    <n v="1200"/>
    <s v="IL"/>
  </r>
  <r>
    <x v="190"/>
    <x v="48"/>
    <x v="1"/>
    <x v="0"/>
    <x v="18"/>
    <s v="Chevrolet"/>
    <s v="Malibu"/>
    <n v="24173"/>
    <n v="35"/>
    <n v="0"/>
    <n v="1"/>
    <s v="N"/>
    <n v="415"/>
    <s v="COMP"/>
    <s v="Nationwide"/>
    <n v="0"/>
    <s v="MA"/>
  </r>
  <r>
    <x v="191"/>
    <x v="29"/>
    <x v="0"/>
    <x v="2"/>
    <x v="12"/>
    <s v="Chevrolet"/>
    <s v="EquiNx"/>
    <n v="12387"/>
    <n v="14"/>
    <n v="1"/>
    <n v="1"/>
    <s v="N"/>
    <n v="384"/>
    <s v="LIAB"/>
    <s v="Travelers"/>
    <n v="0"/>
    <s v="NC"/>
  </r>
  <r>
    <x v="192"/>
    <x v="0"/>
    <x v="0"/>
    <x v="2"/>
    <x v="0"/>
    <s v="Honda"/>
    <s v="Civic"/>
    <n v="20576"/>
    <n v="5"/>
    <n v="1"/>
    <n v="2"/>
    <s v="Y"/>
    <n v="617"/>
    <s v="LIAB"/>
    <s v="Liberty Mutual"/>
    <n v="500"/>
    <s v="CA"/>
  </r>
  <r>
    <x v="193"/>
    <x v="31"/>
    <x v="0"/>
    <x v="1"/>
    <x v="14"/>
    <s v="Nissan"/>
    <s v="Rogue"/>
    <n v="22950"/>
    <n v="17"/>
    <n v="0"/>
    <n v="3"/>
    <s v="Y"/>
    <n v="422"/>
    <s v="COMP"/>
    <s v="Progressive"/>
    <n v="0"/>
    <s v="PA"/>
  </r>
  <r>
    <x v="194"/>
    <x v="38"/>
    <x v="0"/>
    <x v="1"/>
    <x v="8"/>
    <s v="BMW"/>
    <s v="5 Series"/>
    <n v="4816"/>
    <n v="39"/>
    <n v="1"/>
    <n v="0"/>
    <s v="N"/>
    <n v="461"/>
    <s v="COLL"/>
    <s v="Geico"/>
    <n v="0"/>
    <s v="GA"/>
  </r>
  <r>
    <x v="195"/>
    <x v="32"/>
    <x v="1"/>
    <x v="2"/>
    <x v="12"/>
    <s v="Toyota"/>
    <s v="Camry"/>
    <n v="4506"/>
    <n v="46"/>
    <n v="0"/>
    <n v="1"/>
    <s v="Y"/>
    <n v="483"/>
    <s v="COMP"/>
    <s v="Travelers"/>
    <n v="7500"/>
    <s v="GA"/>
  </r>
  <r>
    <x v="196"/>
    <x v="18"/>
    <x v="0"/>
    <x v="1"/>
    <x v="18"/>
    <s v="Ford"/>
    <s v="Focus"/>
    <n v="5552"/>
    <n v="18"/>
    <n v="0"/>
    <n v="0"/>
    <s v="Y"/>
    <n v="353"/>
    <s v="COMP"/>
    <s v="Allstate"/>
    <n v="0"/>
    <s v="CO"/>
  </r>
  <r>
    <x v="197"/>
    <x v="47"/>
    <x v="1"/>
    <x v="3"/>
    <x v="21"/>
    <s v="Ford"/>
    <s v="Focus"/>
    <n v="5830"/>
    <n v="2"/>
    <n v="1"/>
    <n v="0"/>
    <s v="N"/>
    <n v="505"/>
    <s v="COLL"/>
    <s v="American Family"/>
    <n v="1200"/>
    <s v="MD"/>
  </r>
  <r>
    <x v="198"/>
    <x v="31"/>
    <x v="1"/>
    <x v="3"/>
    <x v="3"/>
    <s v="Nissan"/>
    <s v="Altima"/>
    <n v="20909"/>
    <n v="16"/>
    <n v="0"/>
    <n v="0"/>
    <s v="N"/>
    <n v="324"/>
    <s v="COMP"/>
    <s v="Travelers"/>
    <n v="3000"/>
    <s v="TX"/>
  </r>
  <r>
    <x v="199"/>
    <x v="36"/>
    <x v="0"/>
    <x v="1"/>
    <x v="18"/>
    <s v="Ford"/>
    <s v="F-150"/>
    <n v="9723"/>
    <n v="19"/>
    <n v="0"/>
    <n v="1"/>
    <s v="N"/>
    <n v="361"/>
    <s v="COMP"/>
    <s v="Farmers"/>
    <n v="0"/>
    <s v="CA"/>
  </r>
  <r>
    <x v="199"/>
    <x v="36"/>
    <x v="0"/>
    <x v="1"/>
    <x v="18"/>
    <s v="Ford"/>
    <s v="F-150"/>
    <n v="9723"/>
    <n v="19"/>
    <n v="0"/>
    <n v="1"/>
    <s v="N"/>
    <n v="361"/>
    <s v="COMP"/>
    <s v="Farmers"/>
    <n v="0"/>
    <s v="CA"/>
  </r>
  <r>
    <x v="200"/>
    <x v="28"/>
    <x v="1"/>
    <x v="1"/>
    <x v="6"/>
    <s v="Ford"/>
    <s v="Focus"/>
    <n v="5782"/>
    <n v="12"/>
    <n v="0"/>
    <n v="2"/>
    <s v="Y"/>
    <n v="703"/>
    <s v="COMP"/>
    <s v="American Family"/>
    <n v="0"/>
    <s v="VA"/>
  </r>
  <r>
    <x v="201"/>
    <x v="8"/>
    <x v="0"/>
    <x v="0"/>
    <x v="13"/>
    <s v="Ford"/>
    <s v="Focus"/>
    <n v="15876"/>
    <n v="42"/>
    <n v="0"/>
    <n v="1"/>
    <s v="N"/>
    <n v="539"/>
    <s v="COMP"/>
    <s v="Allstate"/>
    <n v="0"/>
    <s v="MO"/>
  </r>
  <r>
    <x v="202"/>
    <x v="56"/>
    <x v="0"/>
    <x v="2"/>
    <x v="9"/>
    <s v="Nissan"/>
    <s v="Sentra"/>
    <n v="13290"/>
    <n v="5"/>
    <n v="0"/>
    <n v="2"/>
    <s v="N"/>
    <n v="512"/>
    <s v="COLL"/>
    <s v="Farmers"/>
    <n v="15000"/>
    <s v="NC"/>
  </r>
  <r>
    <x v="203"/>
    <x v="42"/>
    <x v="0"/>
    <x v="2"/>
    <x v="9"/>
    <s v="Ford"/>
    <s v="Escape"/>
    <n v="22769"/>
    <n v="56"/>
    <n v="0"/>
    <n v="1"/>
    <s v="Y"/>
    <n v="393"/>
    <s v="LIAB"/>
    <s v="Allstate"/>
    <n v="3000"/>
    <s v="CO"/>
  </r>
  <r>
    <x v="204"/>
    <x v="19"/>
    <x v="0"/>
    <x v="3"/>
    <x v="17"/>
    <s v="Honda"/>
    <s v="Civic"/>
    <n v="16251"/>
    <n v="31"/>
    <n v="1"/>
    <n v="3"/>
    <s v="Y"/>
    <n v="555"/>
    <s v="COMP"/>
    <s v="Nationwide"/>
    <n v="0"/>
    <s v="OH"/>
  </r>
  <r>
    <x v="205"/>
    <x v="17"/>
    <x v="0"/>
    <x v="2"/>
    <x v="21"/>
    <s v="Honda"/>
    <s v="Civic"/>
    <n v="9492"/>
    <n v="6"/>
    <n v="0"/>
    <n v="3"/>
    <s v="Y"/>
    <n v="565"/>
    <s v="COMP"/>
    <s v="State Farm"/>
    <n v="0"/>
    <s v="IL"/>
  </r>
  <r>
    <x v="206"/>
    <x v="14"/>
    <x v="1"/>
    <x v="1"/>
    <x v="11"/>
    <s v="Toyota"/>
    <s v="Corolla"/>
    <n v="7014"/>
    <n v="59"/>
    <n v="1"/>
    <n v="0"/>
    <s v="Y"/>
    <n v="743"/>
    <s v="LIAB"/>
    <s v="Liberty Mutual"/>
    <n v="15000"/>
    <s v="TX"/>
  </r>
  <r>
    <x v="207"/>
    <x v="23"/>
    <x v="1"/>
    <x v="1"/>
    <x v="9"/>
    <s v="Ford"/>
    <s v="F-150"/>
    <n v="9132"/>
    <n v="24"/>
    <n v="0"/>
    <n v="1"/>
    <s v="Y"/>
    <n v="335"/>
    <s v="LIAB"/>
    <s v="American Family"/>
    <n v="500"/>
    <s v="MI"/>
  </r>
  <r>
    <x v="208"/>
    <x v="49"/>
    <x v="1"/>
    <x v="1"/>
    <x v="12"/>
    <s v="Toyota"/>
    <s v="Corolla"/>
    <n v="15550"/>
    <n v="32"/>
    <n v="1"/>
    <n v="0"/>
    <s v="Y"/>
    <n v="555"/>
    <s v="LIAB"/>
    <s v="Travelers"/>
    <n v="0"/>
    <s v="CO"/>
  </r>
  <r>
    <x v="209"/>
    <x v="35"/>
    <x v="1"/>
    <x v="3"/>
    <x v="23"/>
    <s v="BMW"/>
    <s v="5 Series"/>
    <n v="14273"/>
    <n v="48"/>
    <n v="1"/>
    <n v="1"/>
    <s v="N"/>
    <n v="576"/>
    <s v="COMP"/>
    <s v="State Farm"/>
    <n v="3000"/>
    <s v="MD"/>
  </r>
  <r>
    <x v="210"/>
    <x v="28"/>
    <x v="0"/>
    <x v="3"/>
    <x v="12"/>
    <s v="Nissan"/>
    <s v="Rogue"/>
    <n v="14712"/>
    <n v="12"/>
    <n v="0"/>
    <n v="0"/>
    <s v="Y"/>
    <n v="553"/>
    <s v="LIAB"/>
    <s v="Allstate"/>
    <n v="1200"/>
    <s v="IN"/>
  </r>
  <r>
    <x v="211"/>
    <x v="16"/>
    <x v="1"/>
    <x v="2"/>
    <x v="21"/>
    <s v="Honda"/>
    <s v="Accord"/>
    <n v="14626"/>
    <n v="53"/>
    <n v="0"/>
    <n v="0"/>
    <s v="Y"/>
    <n v="625"/>
    <s v="LIAB"/>
    <s v="USAA"/>
    <n v="0"/>
    <s v="AZ"/>
  </r>
  <r>
    <x v="212"/>
    <x v="52"/>
    <x v="1"/>
    <x v="0"/>
    <x v="3"/>
    <s v="Honda"/>
    <s v="Accord"/>
    <n v="20764"/>
    <n v="36"/>
    <n v="0"/>
    <n v="1"/>
    <s v="Y"/>
    <n v="392"/>
    <s v="COMP"/>
    <s v="Allstate"/>
    <n v="500"/>
    <s v="TX"/>
  </r>
  <r>
    <x v="213"/>
    <x v="42"/>
    <x v="1"/>
    <x v="3"/>
    <x v="22"/>
    <s v="Ford"/>
    <s v="Focus"/>
    <n v="22202"/>
    <n v="56"/>
    <n v="0"/>
    <n v="1"/>
    <s v="N"/>
    <n v="439"/>
    <s v="COMP"/>
    <s v="Liberty Mutual"/>
    <n v="15000"/>
    <s v="WA"/>
  </r>
  <r>
    <x v="214"/>
    <x v="15"/>
    <x v="1"/>
    <x v="3"/>
    <x v="20"/>
    <s v="Jeep"/>
    <s v=" Wrangler"/>
    <n v="15398"/>
    <n v="11"/>
    <n v="2"/>
    <n v="3"/>
    <s v="N"/>
    <n v="430"/>
    <s v="COMP"/>
    <s v="State Farm"/>
    <n v="7500"/>
    <s v="MO"/>
  </r>
  <r>
    <x v="215"/>
    <x v="20"/>
    <x v="0"/>
    <x v="3"/>
    <x v="5"/>
    <s v="Honda"/>
    <s v="Civic"/>
    <n v="19258"/>
    <n v="3"/>
    <n v="0"/>
    <n v="3"/>
    <s v="Y"/>
    <n v="543"/>
    <s v="COLL"/>
    <s v="USAA"/>
    <n v="0"/>
    <s v="NY"/>
  </r>
  <r>
    <x v="216"/>
    <x v="16"/>
    <x v="1"/>
    <x v="3"/>
    <x v="8"/>
    <s v="Toyota"/>
    <s v="Corolla"/>
    <n v="9870"/>
    <n v="53"/>
    <n v="2"/>
    <n v="0"/>
    <s v="N"/>
    <n v="562"/>
    <s v="COMP"/>
    <s v="State Farm"/>
    <n v="0"/>
    <s v="CO"/>
  </r>
  <r>
    <x v="217"/>
    <x v="10"/>
    <x v="1"/>
    <x v="1"/>
    <x v="9"/>
    <s v="Chevrolet"/>
    <s v="Malibu"/>
    <n v="15409"/>
    <n v="28"/>
    <n v="1"/>
    <n v="1"/>
    <s v="Y"/>
    <n v="790"/>
    <s v="LIAB"/>
    <s v="Allstate"/>
    <n v="0"/>
    <s v="NJ"/>
  </r>
  <r>
    <x v="218"/>
    <x v="47"/>
    <x v="0"/>
    <x v="3"/>
    <x v="4"/>
    <s v="Ford"/>
    <s v="Focus"/>
    <n v="6431"/>
    <n v="6"/>
    <n v="0"/>
    <n v="0"/>
    <s v="N"/>
    <n v="464"/>
    <s v="LIAB"/>
    <s v="Geico"/>
    <n v="0"/>
    <s v="WA"/>
  </r>
  <r>
    <x v="219"/>
    <x v="5"/>
    <x v="1"/>
    <x v="1"/>
    <x v="6"/>
    <s v="Toyota"/>
    <s v="Corolla"/>
    <n v="24418"/>
    <n v="39"/>
    <n v="1"/>
    <n v="1"/>
    <s v="Y"/>
    <n v="354"/>
    <s v="COMP"/>
    <s v="USAA"/>
    <n v="500"/>
    <s v="IL"/>
  </r>
  <r>
    <x v="220"/>
    <x v="37"/>
    <x v="1"/>
    <x v="3"/>
    <x v="19"/>
    <s v="Ford"/>
    <s v="Focus"/>
    <n v="10783"/>
    <n v="28"/>
    <n v="0"/>
    <n v="1"/>
    <s v="Y"/>
    <n v="802"/>
    <s v="COMP"/>
    <s v="State Farm"/>
    <n v="3000"/>
    <s v="TX"/>
  </r>
  <r>
    <x v="221"/>
    <x v="6"/>
    <x v="0"/>
    <x v="3"/>
    <x v="19"/>
    <s v="Jeep"/>
    <s v="Grand Cherokee"/>
    <n v="9542"/>
    <n v="29"/>
    <n v="0"/>
    <n v="0"/>
    <s v="Y"/>
    <n v="598"/>
    <s v="COMP"/>
    <s v="Nationwide"/>
    <n v="0"/>
    <s v="MI"/>
  </r>
  <r>
    <x v="222"/>
    <x v="35"/>
    <x v="1"/>
    <x v="1"/>
    <x v="23"/>
    <s v="Ford"/>
    <s v="F-150"/>
    <n v="24032"/>
    <n v="48"/>
    <n v="1"/>
    <n v="0"/>
    <s v="N"/>
    <n v="690"/>
    <s v="COLL"/>
    <s v="Progressive"/>
    <n v="15000"/>
    <s v="CA"/>
  </r>
  <r>
    <x v="223"/>
    <x v="28"/>
    <x v="1"/>
    <x v="2"/>
    <x v="2"/>
    <s v="BMW"/>
    <s v="5 Series"/>
    <n v="20547"/>
    <n v="13"/>
    <n v="1"/>
    <n v="0"/>
    <s v="N"/>
    <n v="606"/>
    <s v="COMP"/>
    <s v="Liberty Mutual"/>
    <n v="0"/>
    <s v="MA"/>
  </r>
  <r>
    <x v="224"/>
    <x v="52"/>
    <x v="1"/>
    <x v="0"/>
    <x v="14"/>
    <s v="Nissan"/>
    <s v="Altima"/>
    <n v="8477"/>
    <n v="37"/>
    <n v="0"/>
    <n v="0"/>
    <s v="Y"/>
    <n v="733"/>
    <s v="COMP"/>
    <s v="Liberty Mutual"/>
    <n v="500"/>
    <s v="OH"/>
  </r>
  <r>
    <x v="225"/>
    <x v="34"/>
    <x v="1"/>
    <x v="3"/>
    <x v="1"/>
    <s v="Toyota"/>
    <s v="Camry"/>
    <n v="15717"/>
    <n v="51"/>
    <n v="1"/>
    <n v="2"/>
    <s v="N"/>
    <n v="582"/>
    <s v="LIAB"/>
    <s v="Nationwide"/>
    <n v="0"/>
    <s v="MD"/>
  </r>
  <r>
    <x v="226"/>
    <x v="11"/>
    <x v="1"/>
    <x v="1"/>
    <x v="14"/>
    <s v="Chevrolet"/>
    <s v="Silverado"/>
    <n v="7856"/>
    <n v="35"/>
    <n v="1"/>
    <n v="2"/>
    <s v="Y"/>
    <n v="408"/>
    <s v="LIAB"/>
    <s v="Geico"/>
    <n v="1200"/>
    <s v="IN"/>
  </r>
  <r>
    <x v="227"/>
    <x v="13"/>
    <x v="0"/>
    <x v="1"/>
    <x v="17"/>
    <s v="Chevrolet"/>
    <s v="EquiNx"/>
    <n v="18911"/>
    <n v="54"/>
    <n v="1"/>
    <n v="1"/>
    <s v="Y"/>
    <n v="476"/>
    <s v="COLL"/>
    <s v="Liberty Mutual"/>
    <n v="0"/>
    <s v="MD"/>
  </r>
  <r>
    <x v="228"/>
    <x v="5"/>
    <x v="1"/>
    <x v="1"/>
    <x v="12"/>
    <s v="Chevrolet"/>
    <s v="Malibu"/>
    <n v="10784"/>
    <n v="40"/>
    <n v="2"/>
    <n v="1"/>
    <s v="N"/>
    <n v="681"/>
    <s v="COMP"/>
    <s v="USAA"/>
    <n v="1200"/>
    <s v="MI"/>
  </r>
  <r>
    <x v="229"/>
    <x v="3"/>
    <x v="1"/>
    <x v="2"/>
    <x v="20"/>
    <s v="Honda"/>
    <s v="Accord"/>
    <n v="17519"/>
    <n v="17"/>
    <n v="0"/>
    <n v="3"/>
    <s v="N"/>
    <n v="391"/>
    <s v="COMP"/>
    <s v="Nationwide"/>
    <n v="500"/>
    <s v="VA"/>
  </r>
  <r>
    <x v="230"/>
    <x v="32"/>
    <x v="1"/>
    <x v="3"/>
    <x v="12"/>
    <s v="BMW"/>
    <s v="3 Series"/>
    <n v="5150"/>
    <n v="47"/>
    <n v="2"/>
    <n v="2"/>
    <s v="N"/>
    <n v="438"/>
    <s v="LIAB"/>
    <s v="American Family"/>
    <n v="0"/>
    <s v="PA"/>
  </r>
  <r>
    <x v="231"/>
    <x v="57"/>
    <x v="0"/>
    <x v="2"/>
    <x v="20"/>
    <s v="Toyota"/>
    <s v="Corolla"/>
    <n v="4656"/>
    <n v="12"/>
    <n v="2"/>
    <n v="0"/>
    <s v="N"/>
    <n v="677"/>
    <s v="COLL"/>
    <s v="Travelers"/>
    <n v="7500"/>
    <s v="FL"/>
  </r>
  <r>
    <x v="232"/>
    <x v="50"/>
    <x v="0"/>
    <x v="0"/>
    <x v="24"/>
    <s v="Nissan"/>
    <s v="Rogue"/>
    <n v="17617"/>
    <n v="44"/>
    <n v="1"/>
    <n v="2"/>
    <s v="Y"/>
    <n v="658"/>
    <s v="COLL"/>
    <s v="Progressive"/>
    <n v="1200"/>
    <s v="NY"/>
  </r>
  <r>
    <x v="233"/>
    <x v="39"/>
    <x v="0"/>
    <x v="1"/>
    <x v="12"/>
    <s v="Honda"/>
    <s v="CR-V"/>
    <n v="10022"/>
    <n v="19"/>
    <n v="2"/>
    <n v="0"/>
    <s v="Y"/>
    <n v="575"/>
    <s v="LIAB"/>
    <s v="Liberty Mutual"/>
    <n v="0"/>
    <s v="TX"/>
  </r>
  <r>
    <x v="234"/>
    <x v="53"/>
    <x v="0"/>
    <x v="0"/>
    <x v="5"/>
    <s v="Toyota"/>
    <s v="Camry"/>
    <n v="11270"/>
    <n v="28"/>
    <n v="0"/>
    <n v="3"/>
    <s v="N"/>
    <n v="733"/>
    <s v="COLL"/>
    <s v="USAA"/>
    <n v="15000"/>
    <s v="NC"/>
  </r>
  <r>
    <x v="235"/>
    <x v="50"/>
    <x v="0"/>
    <x v="1"/>
    <x v="22"/>
    <s v="Ford"/>
    <s v="Focus"/>
    <n v="23991"/>
    <n v="43"/>
    <n v="0"/>
    <n v="1"/>
    <s v="N"/>
    <n v="492"/>
    <s v="COMP"/>
    <s v="Travelers"/>
    <n v="500"/>
    <s v="CA"/>
  </r>
  <r>
    <x v="236"/>
    <x v="26"/>
    <x v="1"/>
    <x v="1"/>
    <x v="19"/>
    <s v="Ford"/>
    <s v="F-150"/>
    <n v="3834"/>
    <n v="50"/>
    <n v="0"/>
    <n v="1"/>
    <s v="N"/>
    <n v="714"/>
    <s v="COLL"/>
    <s v="State Farm"/>
    <n v="500"/>
    <s v="WA"/>
  </r>
  <r>
    <x v="237"/>
    <x v="32"/>
    <x v="0"/>
    <x v="0"/>
    <x v="19"/>
    <s v="Ford"/>
    <s v="F-150"/>
    <n v="10282"/>
    <n v="47"/>
    <n v="0"/>
    <n v="3"/>
    <s v="N"/>
    <n v="730"/>
    <s v="COLL "/>
    <s v="USAA"/>
    <n v="1200"/>
    <s v="MO"/>
  </r>
  <r>
    <x v="238"/>
    <x v="39"/>
    <x v="1"/>
    <x v="2"/>
    <x v="23"/>
    <s v="Toyota"/>
    <s v="RAV4"/>
    <n v="22122"/>
    <n v="16"/>
    <n v="1"/>
    <n v="0"/>
    <s v="N"/>
    <n v="499"/>
    <s v="LIAB"/>
    <s v="Geico"/>
    <n v="7500"/>
    <s v="MA"/>
  </r>
  <r>
    <x v="239"/>
    <x v="33"/>
    <x v="1"/>
    <x v="2"/>
    <x v="11"/>
    <s v="Honda"/>
    <s v="Civic"/>
    <n v="14228"/>
    <n v="18"/>
    <n v="1"/>
    <n v="1"/>
    <s v="Y"/>
    <n v="623"/>
    <s v="LIAB"/>
    <s v="Progressive"/>
    <n v="0"/>
    <s v="TN"/>
  </r>
  <r>
    <x v="240"/>
    <x v="36"/>
    <x v="1"/>
    <x v="0"/>
    <x v="1"/>
    <s v="Toyota"/>
    <s v="Camry"/>
    <n v="17812"/>
    <n v="21"/>
    <n v="0"/>
    <n v="0"/>
    <s v="Y"/>
    <n v="462"/>
    <s v="COLL"/>
    <s v="Geico"/>
    <n v="0"/>
    <s v="MD"/>
  </r>
  <r>
    <x v="241"/>
    <x v="6"/>
    <x v="1"/>
    <x v="1"/>
    <x v="2"/>
    <s v="Chevrolet"/>
    <s v="Malibu"/>
    <n v="15560"/>
    <n v="29"/>
    <n v="0"/>
    <n v="2"/>
    <s v="Y"/>
    <n v="682"/>
    <s v="COMP"/>
    <s v="USAA"/>
    <n v="500"/>
    <s v="TX"/>
  </r>
  <r>
    <x v="242"/>
    <x v="50"/>
    <x v="0"/>
    <x v="0"/>
    <x v="20"/>
    <s v="Ford"/>
    <s v="Focus"/>
    <n v="7224"/>
    <n v="45"/>
    <n v="1"/>
    <n v="2"/>
    <s v="Y"/>
    <n v="613"/>
    <s v="COMP"/>
    <s v="Geico"/>
    <n v="0"/>
    <s v="MI"/>
  </r>
  <r>
    <x v="243"/>
    <x v="39"/>
    <x v="1"/>
    <x v="3"/>
    <x v="10"/>
    <s v="Honda"/>
    <s v="Accord"/>
    <n v="19062"/>
    <n v="18"/>
    <n v="0"/>
    <n v="0"/>
    <s v="N"/>
    <n v="319"/>
    <s v="COMP"/>
    <s v="Allstate"/>
    <n v="0"/>
    <s v="IL"/>
  </r>
  <r>
    <x v="244"/>
    <x v="2"/>
    <x v="0"/>
    <x v="0"/>
    <x v="14"/>
    <s v="Ford"/>
    <s v="F-150"/>
    <n v="15294"/>
    <n v="46"/>
    <n v="1"/>
    <n v="2"/>
    <s v="Y"/>
    <n v="349"/>
    <s v="LIAB"/>
    <s v="Geico"/>
    <n v="0"/>
    <s v="CA"/>
  </r>
  <r>
    <x v="245"/>
    <x v="24"/>
    <x v="0"/>
    <x v="1"/>
    <x v="8"/>
    <s v="Chevrolet"/>
    <s v="Silverado"/>
    <n v="20933"/>
    <n v="44"/>
    <n v="1"/>
    <n v="3"/>
    <s v="Y"/>
    <n v="510"/>
    <s v="LIAB"/>
    <s v="State Farm"/>
    <n v="1200"/>
    <s v="VA"/>
  </r>
  <r>
    <x v="246"/>
    <x v="8"/>
    <x v="0"/>
    <x v="3"/>
    <x v="5"/>
    <s v="Jeep"/>
    <s v="Wrangler"/>
    <n v="16724"/>
    <n v="44"/>
    <n v="1"/>
    <n v="3"/>
    <s v="Y"/>
    <n v="420"/>
    <s v="COLL"/>
    <s v="Geico"/>
    <n v="0"/>
    <s v="TN"/>
  </r>
  <r>
    <x v="247"/>
    <x v="57"/>
    <x v="1"/>
    <x v="0"/>
    <x v="21"/>
    <s v="Ford"/>
    <s v="Escape"/>
    <n v="9608"/>
    <n v="12"/>
    <n v="2"/>
    <n v="1"/>
    <s v="N"/>
    <n v="464"/>
    <s v="COMP"/>
    <s v="Travelers"/>
    <n v="15000"/>
    <s v="IL"/>
  </r>
  <r>
    <x v="248"/>
    <x v="24"/>
    <x v="1"/>
    <x v="3"/>
    <x v="20"/>
    <s v="Toyota"/>
    <s v="Camry"/>
    <n v="5916"/>
    <n v="46"/>
    <n v="1"/>
    <n v="3"/>
    <s v="N"/>
    <n v="452"/>
    <s v="COMP"/>
    <s v="Travelers"/>
    <n v="0"/>
    <s v="FL"/>
  </r>
  <r>
    <x v="249"/>
    <x v="14"/>
    <x v="0"/>
    <x v="0"/>
    <x v="8"/>
    <s v="Ford"/>
    <s v="Focus"/>
    <n v="18213"/>
    <n v="59"/>
    <n v="0"/>
    <n v="0"/>
    <s v="Y "/>
    <n v="597"/>
    <s v="COLL"/>
    <s v="USAA"/>
    <n v="7500"/>
    <s v="FL"/>
  </r>
  <r>
    <x v="250"/>
    <x v="56"/>
    <x v="0"/>
    <x v="2"/>
    <x v="11"/>
    <s v="Honda"/>
    <s v="Accord"/>
    <n v="14715"/>
    <n v="5"/>
    <n v="1"/>
    <n v="1"/>
    <s v="Y"/>
    <n v="681"/>
    <s v="COLL"/>
    <s v="Progressive"/>
    <n v="0"/>
    <s v="CO"/>
  </r>
  <r>
    <x v="251"/>
    <x v="45"/>
    <x v="1"/>
    <x v="3"/>
    <x v="2"/>
    <s v="Nissan"/>
    <s v="Sentra"/>
    <n v="24261"/>
    <n v="26"/>
    <n v="0"/>
    <n v="0"/>
    <s v="Y"/>
    <n v="463"/>
    <s v="COMP"/>
    <s v="Liberty Mutual"/>
    <n v="15000"/>
    <s v="MO"/>
  </r>
  <r>
    <x v="252"/>
    <x v="50"/>
    <x v="1"/>
    <x v="0"/>
    <x v="5"/>
    <s v="Chevrolet"/>
    <s v="Malibu"/>
    <n v="23032"/>
    <n v="45"/>
    <n v="2"/>
    <n v="3"/>
    <s v="Y"/>
    <n v="794"/>
    <s v="COLL"/>
    <s v="Geico"/>
    <n v="7500"/>
    <s v="NJ"/>
  </r>
  <r>
    <x v="253"/>
    <x v="20"/>
    <x v="0"/>
    <x v="3"/>
    <x v="15"/>
    <s v="Ford"/>
    <s v="F-150"/>
    <n v="20197"/>
    <n v="0"/>
    <n v="2"/>
    <n v="2"/>
    <s v="Y"/>
    <n v="646"/>
    <s v="LIAB"/>
    <s v="Travelers"/>
    <n v="0"/>
    <s v="VA"/>
  </r>
  <r>
    <x v="254"/>
    <x v="8"/>
    <x v="1"/>
    <x v="0"/>
    <x v="23"/>
    <s v="Ford"/>
    <s v="Focus"/>
    <n v="7871"/>
    <n v="40"/>
    <n v="1"/>
    <n v="0"/>
    <s v="Y"/>
    <n v="460"/>
    <s v="LIAB"/>
    <s v="Nationwide"/>
    <n v="15000"/>
    <s v="PA"/>
  </r>
  <r>
    <x v="255"/>
    <x v="47"/>
    <x v="1"/>
    <x v="3"/>
    <x v="20"/>
    <s v="Ford"/>
    <s v="Focus"/>
    <n v="4649"/>
    <n v="2"/>
    <n v="0"/>
    <n v="2"/>
    <s v="N"/>
    <n v="712"/>
    <s v="COMP"/>
    <s v="Geico"/>
    <n v="15000"/>
    <s v="NJ"/>
  </r>
  <r>
    <x v="256"/>
    <x v="21"/>
    <x v="0"/>
    <x v="2"/>
    <x v="5"/>
    <s v="Jeep"/>
    <s v="Grand Cherokee"/>
    <n v="19657"/>
    <n v="33"/>
    <n v="0"/>
    <n v="3"/>
    <s v="N"/>
    <n v="649"/>
    <s v="COLL"/>
    <s v="State Farm"/>
    <n v="500"/>
    <s v="NJ"/>
  </r>
  <r>
    <x v="257"/>
    <x v="36"/>
    <x v="1"/>
    <x v="1"/>
    <x v="6"/>
    <s v="Ford"/>
    <s v="Focus"/>
    <n v="6736"/>
    <n v="23"/>
    <n v="2"/>
    <n v="0"/>
    <s v="Y"/>
    <n v="649"/>
    <s v="COLL"/>
    <s v="Farmers"/>
    <n v="3000"/>
    <s v="FL"/>
  </r>
  <r>
    <x v="258"/>
    <x v="20"/>
    <x v="0"/>
    <x v="1"/>
    <x v="11"/>
    <s v="Chevrolet"/>
    <s v="Silverado"/>
    <n v="11332"/>
    <n v="0"/>
    <n v="0"/>
    <n v="0"/>
    <s v="Y"/>
    <n v="702"/>
    <s v="COMP"/>
    <s v="Nationwide"/>
    <n v="500"/>
    <s v="WA"/>
  </r>
  <r>
    <x v="259"/>
    <x v="56"/>
    <x v="1"/>
    <x v="2"/>
    <x v="15"/>
    <s v="Jeep"/>
    <s v="Wrangler"/>
    <n v="17762"/>
    <n v="5"/>
    <n v="2"/>
    <n v="2"/>
    <s v="Y"/>
    <n v="437"/>
    <s v="COLL"/>
    <s v="State Farm"/>
    <n v="0"/>
    <s v="IN"/>
  </r>
  <r>
    <x v="260"/>
    <x v="6"/>
    <x v="1"/>
    <x v="1"/>
    <x v="0"/>
    <s v="Honda"/>
    <s v="CR-V"/>
    <n v="21958"/>
    <n v="28"/>
    <n v="2"/>
    <n v="0"/>
    <s v="Y"/>
    <n v="696"/>
    <s v="LIAB"/>
    <s v="American Family"/>
    <n v="3000"/>
    <s v="MA"/>
  </r>
  <r>
    <x v="261"/>
    <x v="13"/>
    <x v="1"/>
    <x v="1"/>
    <x v="5"/>
    <s v="Honda"/>
    <s v="Accord"/>
    <n v="16037"/>
    <n v="56"/>
    <n v="0"/>
    <n v="1"/>
    <s v="Y"/>
    <n v="441"/>
    <s v="COLL"/>
    <s v="American Family"/>
    <n v="1200"/>
    <s v="IN"/>
  </r>
  <r>
    <x v="262"/>
    <x v="30"/>
    <x v="0"/>
    <x v="0"/>
    <x v="16"/>
    <s v="Honda"/>
    <s v="Accord"/>
    <n v="14314"/>
    <n v="56"/>
    <n v="2"/>
    <n v="3"/>
    <s v="Y"/>
    <n v="815"/>
    <s v="LIAB"/>
    <s v="USAA"/>
    <n v="0"/>
    <s v="AZ"/>
  </r>
  <r>
    <x v="263"/>
    <x v="21"/>
    <x v="1"/>
    <x v="1"/>
    <x v="19"/>
    <s v="BMW"/>
    <s v="5 Series"/>
    <n v="16840"/>
    <n v="37"/>
    <n v="1"/>
    <n v="0"/>
    <s v="Y"/>
    <n v="690"/>
    <s v="COMP"/>
    <s v="State Farm"/>
    <n v="0"/>
    <s v="IL"/>
  </r>
  <r>
    <x v="264"/>
    <x v="3"/>
    <x v="0"/>
    <x v="3"/>
    <x v="19"/>
    <s v="Ford"/>
    <s v="F-150"/>
    <n v="5032"/>
    <n v="17"/>
    <n v="0"/>
    <n v="2"/>
    <s v="Y"/>
    <n v="667"/>
    <s v="COLL"/>
    <s v="Geico"/>
    <n v="500"/>
    <s v="IN"/>
  </r>
  <r>
    <x v="265"/>
    <x v="23"/>
    <x v="0"/>
    <x v="3"/>
    <x v="6"/>
    <s v="Toyota"/>
    <s v="Corolla"/>
    <n v="15699"/>
    <n v="23"/>
    <n v="2"/>
    <n v="1"/>
    <s v="Y"/>
    <n v="355"/>
    <s v="COMP"/>
    <s v="Farmers"/>
    <n v="500"/>
    <s v="MD"/>
  </r>
  <r>
    <x v="266"/>
    <x v="30"/>
    <x v="1"/>
    <x v="0"/>
    <x v="15"/>
    <s v="Ford"/>
    <s v="F-150"/>
    <n v="9340"/>
    <n v="55"/>
    <n v="1"/>
    <n v="0"/>
    <s v="Y"/>
    <n v="491"/>
    <s v="COMP"/>
    <s v="Travelers"/>
    <n v="0"/>
    <s v="CO"/>
  </r>
  <r>
    <x v="267"/>
    <x v="20"/>
    <x v="1"/>
    <x v="3"/>
    <x v="7"/>
    <s v="Ford"/>
    <s v="F-150"/>
    <n v="8273"/>
    <n v="0"/>
    <n v="0"/>
    <n v="0"/>
    <s v="N"/>
    <n v="777"/>
    <s v="LIAB"/>
    <s v="Progressive"/>
    <n v="0"/>
    <s v="OH"/>
  </r>
  <r>
    <x v="268"/>
    <x v="18"/>
    <x v="1"/>
    <x v="2"/>
    <x v="21"/>
    <s v="Jeep"/>
    <s v="Grand Cherokee"/>
    <n v="19074"/>
    <n v="18"/>
    <n v="1"/>
    <n v="1"/>
    <s v="Y"/>
    <n v="625"/>
    <s v="LIAB"/>
    <s v="Allstate"/>
    <n v="0"/>
    <s v="MA"/>
  </r>
  <r>
    <x v="269"/>
    <x v="47"/>
    <x v="1"/>
    <x v="0"/>
    <x v="10"/>
    <s v="BMW"/>
    <s v="X5"/>
    <n v="16219"/>
    <n v="6"/>
    <n v="0"/>
    <n v="0"/>
    <s v="Y"/>
    <n v="639"/>
    <s v="COLL"/>
    <s v="USAA"/>
    <n v="1200"/>
    <s v="IL"/>
  </r>
  <r>
    <x v="270"/>
    <x v="1"/>
    <x v="1"/>
    <x v="1"/>
    <x v="7"/>
    <s v="Toyota"/>
    <s v="Camry"/>
    <n v="24919"/>
    <n v="48"/>
    <n v="1"/>
    <n v="0"/>
    <s v="Y"/>
    <n v="549"/>
    <s v="COMP"/>
    <s v="USAA"/>
    <n v="7500"/>
    <s v="FL"/>
  </r>
  <r>
    <x v="271"/>
    <x v="23"/>
    <x v="0"/>
    <x v="3"/>
    <x v="4"/>
    <s v="BMW"/>
    <s v="5 Series"/>
    <n v="19852"/>
    <n v="22"/>
    <n v="1"/>
    <n v="1"/>
    <s v="Y"/>
    <n v="603"/>
    <s v="LIAB"/>
    <s v="Allstate"/>
    <n v="3000"/>
    <s v="MA"/>
  </r>
  <r>
    <x v="272"/>
    <x v="0"/>
    <x v="0"/>
    <x v="0"/>
    <x v="21"/>
    <s v="BMW"/>
    <s v="X5"/>
    <n v="3240"/>
    <n v="7"/>
    <n v="0"/>
    <n v="3"/>
    <s v="Y"/>
    <n v="734"/>
    <s v="COMP"/>
    <s v="Allstate"/>
    <n v="7500"/>
    <s v="NY"/>
  </r>
  <r>
    <x v="273"/>
    <x v="16"/>
    <x v="0"/>
    <x v="3"/>
    <x v="10"/>
    <s v="Chevrolet"/>
    <s v="Malibu"/>
    <n v="23650"/>
    <n v="51"/>
    <n v="1"/>
    <n v="1"/>
    <s v="Y"/>
    <n v="698"/>
    <s v="LIAB"/>
    <s v="Geico"/>
    <n v="0"/>
    <s v="MD"/>
  </r>
  <r>
    <x v="274"/>
    <x v="47"/>
    <x v="1"/>
    <x v="2"/>
    <x v="6"/>
    <s v="Toyota"/>
    <s v="Corolla"/>
    <n v="19476"/>
    <n v="6"/>
    <n v="0"/>
    <n v="3"/>
    <s v="N"/>
    <n v="388"/>
    <s v="COLL"/>
    <s v="Nationwide"/>
    <n v="7500"/>
    <s v="CO"/>
  </r>
  <r>
    <x v="275"/>
    <x v="16"/>
    <x v="1"/>
    <x v="2"/>
    <x v="23"/>
    <s v="Honda"/>
    <s v="CR-V"/>
    <n v="10204"/>
    <n v="53"/>
    <n v="2"/>
    <n v="1"/>
    <s v="Y"/>
    <n v="602"/>
    <s v="LIAB"/>
    <s v="Progressive"/>
    <n v="1200"/>
    <s v="AZ"/>
  </r>
  <r>
    <x v="276"/>
    <x v="27"/>
    <x v="1"/>
    <x v="0"/>
    <x v="14"/>
    <s v="Toyota"/>
    <s v="Camry"/>
    <n v="21766"/>
    <n v="0"/>
    <n v="1"/>
    <n v="2"/>
    <s v="Y"/>
    <n v="387"/>
    <s v="COLL"/>
    <s v="Allstate"/>
    <n v="3000"/>
    <s v="IL"/>
  </r>
  <r>
    <x v="277"/>
    <x v="37"/>
    <x v="1"/>
    <x v="0"/>
    <x v="9"/>
    <s v="Honda"/>
    <s v="Civic"/>
    <n v="23214"/>
    <n v="26"/>
    <n v="0"/>
    <n v="0"/>
    <s v="Y"/>
    <n v="355"/>
    <s v="LIAB"/>
    <s v="Nationwide"/>
    <n v="0"/>
    <s v="MI"/>
  </r>
  <r>
    <x v="278"/>
    <x v="8"/>
    <x v="0"/>
    <x v="3"/>
    <x v="14"/>
    <s v="Honda"/>
    <s v="Accord"/>
    <n v="13841"/>
    <n v="42"/>
    <n v="0"/>
    <n v="3"/>
    <s v="Y"/>
    <n v="402"/>
    <s v="COLL"/>
    <s v="American Family"/>
    <n v="0"/>
    <s v="IL"/>
  </r>
  <r>
    <x v="279"/>
    <x v="18"/>
    <x v="1"/>
    <x v="1"/>
    <x v="1"/>
    <s v="Jeep"/>
    <s v="Grand Cherokee"/>
    <n v="22142"/>
    <n v="21"/>
    <n v="1"/>
    <n v="2"/>
    <s v="N"/>
    <n v="623"/>
    <s v="COLL"/>
    <s v="Progressive"/>
    <n v="0"/>
    <s v="WA"/>
  </r>
  <r>
    <x v="280"/>
    <x v="31"/>
    <x v="0"/>
    <x v="1"/>
    <x v="17"/>
    <s v="Ford"/>
    <s v="F-150"/>
    <n v="13864"/>
    <n v="14"/>
    <n v="1"/>
    <n v="1"/>
    <s v="N"/>
    <n v="612"/>
    <s v="COLL"/>
    <s v="Travelers"/>
    <n v="0"/>
    <s v="PA"/>
  </r>
  <r>
    <x v="281"/>
    <x v="25"/>
    <x v="1"/>
    <x v="2"/>
    <x v="17"/>
    <s v="Honda"/>
    <s v="CR-V"/>
    <n v="9436"/>
    <n v="41"/>
    <n v="2"/>
    <n v="3"/>
    <s v="Y"/>
    <n v="377"/>
    <s v="COMP"/>
    <s v="Travelers"/>
    <n v="0"/>
    <s v="MO"/>
  </r>
  <r>
    <x v="282"/>
    <x v="11"/>
    <x v="1"/>
    <x v="0"/>
    <x v="12"/>
    <s v="BMW"/>
    <s v="5 Series"/>
    <n v="20808"/>
    <n v="35"/>
    <n v="1"/>
    <n v="3"/>
    <s v="Y"/>
    <n v="674"/>
    <s v="COLL"/>
    <s v="Allstate"/>
    <n v="1200"/>
    <s v="OH"/>
  </r>
  <r>
    <x v="283"/>
    <x v="52"/>
    <x v="1"/>
    <x v="0"/>
    <x v="18"/>
    <s v="Nissan"/>
    <s v="Sentra"/>
    <n v="4324"/>
    <n v="37"/>
    <n v="1"/>
    <n v="0"/>
    <s v="Y"/>
    <n v="570"/>
    <s v="COLL"/>
    <s v="Allstate"/>
    <n v="0"/>
    <s v="IL"/>
  </r>
  <r>
    <x v="284"/>
    <x v="48"/>
    <x v="0"/>
    <x v="1"/>
    <x v="23"/>
    <s v="Nissan"/>
    <s v="Altima"/>
    <n v="4307"/>
    <n v="33"/>
    <n v="0"/>
    <n v="3"/>
    <s v="Y"/>
    <n v="580"/>
    <s v="LIAB"/>
    <s v="Farmers"/>
    <n v="0"/>
    <s v="CO"/>
  </r>
  <r>
    <x v="285"/>
    <x v="25"/>
    <x v="1"/>
    <x v="3"/>
    <x v="3"/>
    <s v="Toyota"/>
    <s v="Corolla"/>
    <n v="15331"/>
    <n v="42"/>
    <n v="1"/>
    <n v="1"/>
    <s v="N"/>
    <n v="653"/>
    <s v="COLL"/>
    <s v="Nationwide"/>
    <n v="0"/>
    <s v="MA"/>
  </r>
  <r>
    <x v="286"/>
    <x v="13"/>
    <x v="0"/>
    <x v="1"/>
    <x v="9"/>
    <s v="Honda"/>
    <s v="Civic"/>
    <n v="19860"/>
    <n v="56"/>
    <n v="0"/>
    <n v="0"/>
    <s v="Y"/>
    <n v="461"/>
    <s v="COLL"/>
    <s v="American Family"/>
    <n v="0"/>
    <s v="GA"/>
  </r>
  <r>
    <x v="287"/>
    <x v="37"/>
    <x v="0"/>
    <x v="2"/>
    <x v="23"/>
    <s v="Nissan"/>
    <s v="Sentra"/>
    <n v="9904"/>
    <n v="24"/>
    <n v="0"/>
    <n v="3"/>
    <s v="N"/>
    <n v="322"/>
    <s v="COMP"/>
    <s v="State Farm"/>
    <n v="0"/>
    <s v="MO"/>
  </r>
  <r>
    <x v="288"/>
    <x v="11"/>
    <x v="0"/>
    <x v="0"/>
    <x v="15"/>
    <s v="BMW"/>
    <s v="3 Series"/>
    <n v="21752"/>
    <n v="38"/>
    <n v="0"/>
    <n v="0"/>
    <s v="N"/>
    <n v="484"/>
    <s v="LIAB"/>
    <s v="Liberty Mutual"/>
    <n v="0"/>
    <s v="MI"/>
  </r>
  <r>
    <x v="289"/>
    <x v="0"/>
    <x v="0"/>
    <x v="1"/>
    <x v="5"/>
    <s v="Nissan"/>
    <s v="Sentra"/>
    <n v="8589"/>
    <n v="6"/>
    <n v="1"/>
    <n v="2"/>
    <s v="Y"/>
    <n v="486"/>
    <s v="LIAB"/>
    <s v="Travelers"/>
    <n v="1200"/>
    <s v="PA"/>
  </r>
  <r>
    <x v="290"/>
    <x v="2"/>
    <x v="1"/>
    <x v="3"/>
    <x v="8"/>
    <s v="Jeep"/>
    <s v="Wrangler"/>
    <n v="10530"/>
    <n v="45"/>
    <n v="1"/>
    <n v="0"/>
    <s v="Y"/>
    <n v="316"/>
    <s v="COMP"/>
    <s v="Travelers"/>
    <n v="7500"/>
    <s v="OH"/>
  </r>
  <r>
    <x v="291"/>
    <x v="5"/>
    <x v="0"/>
    <x v="0"/>
    <x v="23"/>
    <s v="Jeep"/>
    <s v="Wrangler"/>
    <n v="20413"/>
    <n v="36"/>
    <n v="0"/>
    <n v="0"/>
    <s v="N"/>
    <n v="433"/>
    <s v="LIAB"/>
    <s v="Travelers"/>
    <n v="0"/>
    <s v="VA"/>
  </r>
  <r>
    <x v="292"/>
    <x v="48"/>
    <x v="1"/>
    <x v="3"/>
    <x v="12"/>
    <s v="BMW"/>
    <s v="5 Series"/>
    <n v="10519"/>
    <n v="32"/>
    <n v="1"/>
    <n v="1"/>
    <s v="Y"/>
    <n v="400"/>
    <s v="COLL"/>
    <s v="Progressive"/>
    <n v="1200"/>
    <s v="TN"/>
  </r>
  <r>
    <x v="293"/>
    <x v="46"/>
    <x v="0"/>
    <x v="2"/>
    <x v="13"/>
    <s v="Jeep"/>
    <s v="Grand Cherokee"/>
    <n v="11447"/>
    <n v="50"/>
    <n v="0"/>
    <n v="3"/>
    <s v="Y"/>
    <n v="835"/>
    <s v="COMP"/>
    <s v="Travelers"/>
    <n v="0"/>
    <s v="CO"/>
  </r>
  <r>
    <x v="294"/>
    <x v="25"/>
    <x v="0"/>
    <x v="3"/>
    <x v="10"/>
    <s v="Ford"/>
    <s v="F-150"/>
    <n v="8071"/>
    <n v="40"/>
    <n v="2"/>
    <n v="2"/>
    <s v="N"/>
    <n v="567"/>
    <s v="LIAB"/>
    <s v="Liberty Mutual"/>
    <n v="3000"/>
    <s v="MD"/>
  </r>
  <r>
    <x v="295"/>
    <x v="3"/>
    <x v="1"/>
    <x v="1"/>
    <x v="21"/>
    <s v="Honda"/>
    <s v="Accord"/>
    <n v="21091"/>
    <n v="15"/>
    <n v="1"/>
    <n v="0"/>
    <s v="N"/>
    <n v="795"/>
    <s v="COLL"/>
    <s v="Farmers"/>
    <n v="3000"/>
    <s v="CO"/>
  </r>
  <r>
    <x v="296"/>
    <x v="32"/>
    <x v="0"/>
    <x v="2"/>
    <x v="18"/>
    <s v="Honda"/>
    <s v="Accord"/>
    <n v="8301"/>
    <n v="49"/>
    <n v="0"/>
    <n v="2"/>
    <s v="N"/>
    <n v="646"/>
    <s v="LIAB"/>
    <s v="American Family"/>
    <n v="0"/>
    <s v="PA"/>
  </r>
  <r>
    <x v="297"/>
    <x v="23"/>
    <x v="1"/>
    <x v="2"/>
    <x v="22"/>
    <s v="Honda"/>
    <s v="Accord"/>
    <n v="22668"/>
    <n v="23"/>
    <n v="0"/>
    <n v="0"/>
    <s v="N"/>
    <n v="527"/>
    <s v="COLL"/>
    <s v="Geico"/>
    <n v="0"/>
    <s v="CO"/>
  </r>
  <r>
    <x v="298"/>
    <x v="45"/>
    <x v="1"/>
    <x v="3"/>
    <x v="6"/>
    <s v="Jeep"/>
    <s v="Wrangler"/>
    <n v="8743"/>
    <n v="24"/>
    <n v="1"/>
    <n v="0"/>
    <s v="Y"/>
    <n v="830"/>
    <s v="COLL"/>
    <s v="Allstate"/>
    <n v="0"/>
    <s v="MD"/>
  </r>
  <r>
    <x v="299"/>
    <x v="19"/>
    <x v="1"/>
    <x v="0"/>
    <x v="5"/>
    <s v="Honda"/>
    <s v="CR-V"/>
    <n v="4181"/>
    <n v="32"/>
    <n v="0"/>
    <n v="3"/>
    <s v="Y"/>
    <n v="461"/>
    <s v="COMP"/>
    <s v="Farmers"/>
    <n v="7500"/>
    <s v="AZ"/>
  </r>
  <r>
    <x v="300"/>
    <x v="7"/>
    <x v="1"/>
    <x v="1"/>
    <x v="3"/>
    <s v="Honda"/>
    <s v="Civic"/>
    <n v="5248"/>
    <n v="24"/>
    <n v="1"/>
    <n v="1"/>
    <s v="Y"/>
    <n v="656"/>
    <s v="COLL"/>
    <s v="Farmers"/>
    <n v="500"/>
    <s v="MD"/>
  </r>
  <r>
    <x v="301"/>
    <x v="57"/>
    <x v="1"/>
    <x v="1"/>
    <x v="3"/>
    <s v="Toyota"/>
    <s v="Corolla"/>
    <n v="8735"/>
    <n v="11"/>
    <n v="1"/>
    <n v="0"/>
    <s v="Y "/>
    <n v="374"/>
    <s v="LIAB"/>
    <s v="Farmers"/>
    <n v="3000"/>
    <s v="FL"/>
  </r>
  <r>
    <x v="302"/>
    <x v="26"/>
    <x v="1"/>
    <x v="3"/>
    <x v="7"/>
    <s v="Jeep"/>
    <s v="Grand Cherokee"/>
    <n v="17508"/>
    <n v="50"/>
    <n v="1"/>
    <n v="1"/>
    <s v="Y"/>
    <n v="647"/>
    <s v="COLL"/>
    <s v="Nationwide"/>
    <n v="0"/>
    <s v="TN"/>
  </r>
  <r>
    <x v="303"/>
    <x v="17"/>
    <x v="0"/>
    <x v="2"/>
    <x v="2"/>
    <s v="Honda"/>
    <s v="Civic"/>
    <n v="13345"/>
    <n v="6"/>
    <n v="0"/>
    <n v="2"/>
    <s v="Y"/>
    <n v="309"/>
    <s v="LIAB"/>
    <s v="Farmers"/>
    <n v="500"/>
    <s v="MI"/>
  </r>
  <r>
    <x v="304"/>
    <x v="0"/>
    <x v="1"/>
    <x v="3"/>
    <x v="22"/>
    <s v="BMW"/>
    <s v="3 Series"/>
    <n v="18615"/>
    <n v="5"/>
    <n v="0"/>
    <n v="0"/>
    <s v="Y"/>
    <n v="575"/>
    <s v="COMP"/>
    <s v="Allstate"/>
    <n v="15000"/>
    <s v="IL"/>
  </r>
  <r>
    <x v="305"/>
    <x v="31"/>
    <x v="1"/>
    <x v="0"/>
    <x v="17"/>
    <s v="Honda"/>
    <s v="Civic"/>
    <n v="9644"/>
    <n v="16"/>
    <n v="1"/>
    <n v="1"/>
    <s v="Y"/>
    <n v="409"/>
    <s v="COMP"/>
    <s v="Geico"/>
    <n v="15000"/>
    <s v="MD"/>
  </r>
  <r>
    <x v="306"/>
    <x v="27"/>
    <x v="1"/>
    <x v="2"/>
    <x v="23"/>
    <s v="Ford"/>
    <s v="Focus"/>
    <n v="19133"/>
    <n v="0"/>
    <n v="0"/>
    <n v="1"/>
    <s v="Y"/>
    <n v="823"/>
    <s v="COLL"/>
    <s v="Liberty Mutual"/>
    <n v="500"/>
    <s v="MO"/>
  </r>
  <r>
    <x v="307"/>
    <x v="41"/>
    <x v="0"/>
    <x v="1"/>
    <x v="23"/>
    <s v="BMW"/>
    <s v="3 Series"/>
    <n v="19465"/>
    <n v="8"/>
    <n v="1"/>
    <n v="3"/>
    <s v="Y"/>
    <n v="768"/>
    <s v="COMP"/>
    <s v="Travelers"/>
    <n v="15000"/>
    <s v="WA"/>
  </r>
  <r>
    <x v="308"/>
    <x v="24"/>
    <x v="0"/>
    <x v="2"/>
    <x v="19"/>
    <s v="Honda"/>
    <s v="Accord"/>
    <n v="22038"/>
    <n v="46"/>
    <n v="0"/>
    <n v="1"/>
    <s v="Y"/>
    <n v="565"/>
    <s v="COMP"/>
    <s v="Travelers"/>
    <n v="1200"/>
    <s v="GA"/>
  </r>
  <r>
    <x v="309"/>
    <x v="3"/>
    <x v="1"/>
    <x v="3"/>
    <x v="24"/>
    <s v="Honda"/>
    <s v="Accord"/>
    <n v="16891"/>
    <n v="18"/>
    <n v="1"/>
    <n v="3"/>
    <s v="N"/>
    <n v="673"/>
    <s v="COLL"/>
    <s v="Farmers"/>
    <n v="15000"/>
    <s v="PA"/>
  </r>
  <r>
    <x v="310"/>
    <x v="52"/>
    <x v="0"/>
    <x v="0"/>
    <x v="14"/>
    <s v="Ford"/>
    <s v="F-150"/>
    <n v="21197"/>
    <n v="35"/>
    <n v="1"/>
    <n v="0"/>
    <s v="Y"/>
    <n v="453"/>
    <s v="COLL"/>
    <s v="State Farm"/>
    <n v="0"/>
    <s v="VA"/>
  </r>
  <r>
    <x v="311"/>
    <x v="49"/>
    <x v="0"/>
    <x v="3"/>
    <x v="23"/>
    <s v="Ford"/>
    <s v="Focus"/>
    <n v="21420"/>
    <n v="29"/>
    <n v="0"/>
    <n v="1"/>
    <s v="Y"/>
    <n v="467"/>
    <s v="COMP"/>
    <s v="Allstate"/>
    <n v="1200"/>
    <s v="TN"/>
  </r>
  <r>
    <x v="312"/>
    <x v="34"/>
    <x v="1"/>
    <x v="2"/>
    <x v="8"/>
    <s v="Ford"/>
    <s v="Focus"/>
    <n v="14828"/>
    <n v="53"/>
    <n v="1"/>
    <n v="2"/>
    <s v="N"/>
    <n v="652"/>
    <s v="COMP"/>
    <s v="Liberty Mutual"/>
    <n v="0"/>
    <s v="AZ"/>
  </r>
  <r>
    <x v="313"/>
    <x v="30"/>
    <x v="1"/>
    <x v="0"/>
    <x v="3"/>
    <s v="Jeep"/>
    <s v="Wrangler"/>
    <n v="12326"/>
    <n v="55"/>
    <n v="0"/>
    <n v="3"/>
    <s v="Y"/>
    <n v="799"/>
    <s v="LIAB"/>
    <s v="Nationwide"/>
    <n v="0"/>
    <s v="CO"/>
  </r>
  <r>
    <x v="314"/>
    <x v="55"/>
    <x v="0"/>
    <x v="1"/>
    <x v="15"/>
    <s v="Honda"/>
    <s v="Civic"/>
    <n v="23990"/>
    <n v="39"/>
    <n v="1"/>
    <n v="3"/>
    <s v="Y"/>
    <n v="714"/>
    <s v="COMP"/>
    <s v="Geico"/>
    <n v="0"/>
    <s v="W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s v="M"/>
    <s v="Married"/>
    <x v="0"/>
    <x v="0"/>
    <s v="Wrangler"/>
    <x v="0"/>
    <x v="0"/>
    <x v="0"/>
    <x v="0"/>
    <x v="0"/>
    <x v="0"/>
    <x v="0"/>
    <x v="0"/>
    <x v="0"/>
    <x v="0"/>
    <x v="0"/>
  </r>
  <r>
    <x v="1"/>
    <x v="1"/>
    <s v="M"/>
    <s v="Widowed"/>
    <x v="1"/>
    <x v="1"/>
    <s v="F-150"/>
    <x v="1"/>
    <x v="1"/>
    <x v="1"/>
    <x v="1"/>
    <x v="1"/>
    <x v="1"/>
    <x v="1"/>
    <x v="1"/>
    <x v="0"/>
    <x v="1"/>
    <x v="0"/>
  </r>
  <r>
    <x v="2"/>
    <x v="2"/>
    <s v="F"/>
    <s v="Single"/>
    <x v="2"/>
    <x v="2"/>
    <s v="Corolla"/>
    <x v="2"/>
    <x v="2"/>
    <x v="1"/>
    <x v="2"/>
    <x v="0"/>
    <x v="2"/>
    <x v="0"/>
    <x v="2"/>
    <x v="0"/>
    <x v="2"/>
    <x v="0"/>
  </r>
  <r>
    <x v="3"/>
    <x v="3"/>
    <s v="M"/>
    <s v="Married"/>
    <x v="3"/>
    <x v="1"/>
    <s v="F-150"/>
    <x v="3"/>
    <x v="3"/>
    <x v="2"/>
    <x v="0"/>
    <x v="1"/>
    <x v="3"/>
    <x v="1"/>
    <x v="3"/>
    <x v="1"/>
    <x v="3"/>
    <x v="0"/>
  </r>
  <r>
    <x v="4"/>
    <x v="4"/>
    <s v="M"/>
    <s v="Widowed"/>
    <x v="3"/>
    <x v="3"/>
    <s v="Malibu"/>
    <x v="4"/>
    <x v="4"/>
    <x v="2"/>
    <x v="3"/>
    <x v="0"/>
    <x v="4"/>
    <x v="0"/>
    <x v="3"/>
    <x v="2"/>
    <x v="4"/>
    <x v="1"/>
  </r>
  <r>
    <x v="5"/>
    <x v="5"/>
    <s v="M"/>
    <s v="Widowed"/>
    <x v="2"/>
    <x v="0"/>
    <s v="Grand Cherokee"/>
    <x v="5"/>
    <x v="5"/>
    <x v="2"/>
    <x v="1"/>
    <x v="0"/>
    <x v="5"/>
    <x v="1"/>
    <x v="1"/>
    <x v="2"/>
    <x v="5"/>
    <x v="1"/>
  </r>
  <r>
    <x v="6"/>
    <x v="6"/>
    <s v="M"/>
    <s v="Widowed"/>
    <x v="4"/>
    <x v="1"/>
    <s v="Escape"/>
    <x v="6"/>
    <x v="6"/>
    <x v="1"/>
    <x v="0"/>
    <x v="1"/>
    <x v="6"/>
    <x v="2"/>
    <x v="2"/>
    <x v="2"/>
    <x v="6"/>
    <x v="1"/>
  </r>
  <r>
    <x v="7"/>
    <x v="1"/>
    <s v="M"/>
    <s v="Single"/>
    <x v="5"/>
    <x v="1"/>
    <s v="Focus"/>
    <x v="7"/>
    <x v="7"/>
    <x v="1"/>
    <x v="3"/>
    <x v="0"/>
    <x v="7"/>
    <x v="0"/>
    <x v="4"/>
    <x v="2"/>
    <x v="2"/>
    <x v="1"/>
  </r>
  <r>
    <x v="8"/>
    <x v="1"/>
    <s v="F"/>
    <s v="Married"/>
    <x v="6"/>
    <x v="1"/>
    <s v="Focus"/>
    <x v="8"/>
    <x v="1"/>
    <x v="2"/>
    <x v="2"/>
    <x v="1"/>
    <x v="8"/>
    <x v="0"/>
    <x v="2"/>
    <x v="2"/>
    <x v="7"/>
    <x v="1"/>
  </r>
  <r>
    <x v="9"/>
    <x v="7"/>
    <s v="F"/>
    <s v="Married"/>
    <x v="3"/>
    <x v="4"/>
    <s v="Civic"/>
    <x v="9"/>
    <x v="8"/>
    <x v="1"/>
    <x v="1"/>
    <x v="0"/>
    <x v="9"/>
    <x v="0"/>
    <x v="5"/>
    <x v="1"/>
    <x v="8"/>
    <x v="0"/>
  </r>
  <r>
    <x v="10"/>
    <x v="8"/>
    <s v="F"/>
    <s v="Married"/>
    <x v="7"/>
    <x v="4"/>
    <s v="CR-V"/>
    <x v="10"/>
    <x v="9"/>
    <x v="2"/>
    <x v="1"/>
    <x v="1"/>
    <x v="10"/>
    <x v="0"/>
    <x v="6"/>
    <x v="2"/>
    <x v="4"/>
    <x v="1"/>
  </r>
  <r>
    <x v="11"/>
    <x v="9"/>
    <s v="F"/>
    <s v="Widowed"/>
    <x v="8"/>
    <x v="2"/>
    <s v="RAV4"/>
    <x v="11"/>
    <x v="10"/>
    <x v="1"/>
    <x v="3"/>
    <x v="1"/>
    <x v="11"/>
    <x v="0"/>
    <x v="2"/>
    <x v="1"/>
    <x v="3"/>
    <x v="0"/>
  </r>
  <r>
    <x v="12"/>
    <x v="10"/>
    <s v="M"/>
    <s v="Widowed"/>
    <x v="9"/>
    <x v="1"/>
    <s v="Focus"/>
    <x v="12"/>
    <x v="11"/>
    <x v="2"/>
    <x v="2"/>
    <x v="0"/>
    <x v="12"/>
    <x v="2"/>
    <x v="5"/>
    <x v="2"/>
    <x v="2"/>
    <x v="1"/>
  </r>
  <r>
    <x v="13"/>
    <x v="1"/>
    <s v="M"/>
    <s v="Married"/>
    <x v="10"/>
    <x v="5"/>
    <s v="Sentra"/>
    <x v="13"/>
    <x v="12"/>
    <x v="1"/>
    <x v="1"/>
    <x v="1"/>
    <x v="13"/>
    <x v="1"/>
    <x v="7"/>
    <x v="3"/>
    <x v="5"/>
    <x v="0"/>
  </r>
  <r>
    <x v="14"/>
    <x v="6"/>
    <s v="F"/>
    <s v="Widowed"/>
    <x v="11"/>
    <x v="4"/>
    <s v="Accord"/>
    <x v="14"/>
    <x v="13"/>
    <x v="2"/>
    <x v="0"/>
    <x v="0"/>
    <x v="14"/>
    <x v="2"/>
    <x v="1"/>
    <x v="2"/>
    <x v="1"/>
    <x v="1"/>
  </r>
  <r>
    <x v="15"/>
    <x v="11"/>
    <s v="F"/>
    <s v="Married"/>
    <x v="12"/>
    <x v="6"/>
    <s v="3 Series"/>
    <x v="15"/>
    <x v="14"/>
    <x v="2"/>
    <x v="1"/>
    <x v="0"/>
    <x v="15"/>
    <x v="0"/>
    <x v="4"/>
    <x v="1"/>
    <x v="9"/>
    <x v="0"/>
  </r>
  <r>
    <x v="16"/>
    <x v="5"/>
    <s v="M"/>
    <s v="Single"/>
    <x v="10"/>
    <x v="0"/>
    <s v="Grand Cherokee"/>
    <x v="16"/>
    <x v="14"/>
    <x v="0"/>
    <x v="0"/>
    <x v="1"/>
    <x v="16"/>
    <x v="1"/>
    <x v="8"/>
    <x v="2"/>
    <x v="5"/>
    <x v="1"/>
  </r>
  <r>
    <x v="17"/>
    <x v="12"/>
    <s v="M"/>
    <s v="Single"/>
    <x v="4"/>
    <x v="5"/>
    <s v="Rogue"/>
    <x v="17"/>
    <x v="15"/>
    <x v="1"/>
    <x v="2"/>
    <x v="0"/>
    <x v="17"/>
    <x v="1"/>
    <x v="3"/>
    <x v="4"/>
    <x v="2"/>
    <x v="0"/>
  </r>
  <r>
    <x v="18"/>
    <x v="13"/>
    <s v="M"/>
    <s v="Divorced"/>
    <x v="13"/>
    <x v="4"/>
    <s v="Accord"/>
    <x v="18"/>
    <x v="16"/>
    <x v="2"/>
    <x v="0"/>
    <x v="0"/>
    <x v="18"/>
    <x v="2"/>
    <x v="5"/>
    <x v="0"/>
    <x v="10"/>
    <x v="0"/>
  </r>
  <r>
    <x v="19"/>
    <x v="13"/>
    <s v="M"/>
    <s v="Divorced"/>
    <x v="14"/>
    <x v="2"/>
    <s v="Camry"/>
    <x v="19"/>
    <x v="16"/>
    <x v="2"/>
    <x v="1"/>
    <x v="1"/>
    <x v="19"/>
    <x v="2"/>
    <x v="7"/>
    <x v="3"/>
    <x v="8"/>
    <x v="0"/>
  </r>
  <r>
    <x v="20"/>
    <x v="14"/>
    <s v="M"/>
    <s v="Single"/>
    <x v="15"/>
    <x v="3"/>
    <s v="Malibu"/>
    <x v="20"/>
    <x v="17"/>
    <x v="1"/>
    <x v="1"/>
    <x v="1"/>
    <x v="20"/>
    <x v="2"/>
    <x v="0"/>
    <x v="5"/>
    <x v="3"/>
    <x v="0"/>
  </r>
  <r>
    <x v="21"/>
    <x v="14"/>
    <s v="M"/>
    <s v="Divorced"/>
    <x v="16"/>
    <x v="4"/>
    <s v="Civic"/>
    <x v="21"/>
    <x v="18"/>
    <x v="2"/>
    <x v="2"/>
    <x v="0"/>
    <x v="21"/>
    <x v="0"/>
    <x v="3"/>
    <x v="5"/>
    <x v="0"/>
    <x v="0"/>
  </r>
  <r>
    <x v="22"/>
    <x v="15"/>
    <s v="F"/>
    <s v="Divorced"/>
    <x v="10"/>
    <x v="4"/>
    <s v="Accord"/>
    <x v="22"/>
    <x v="19"/>
    <x v="2"/>
    <x v="1"/>
    <x v="1"/>
    <x v="22"/>
    <x v="0"/>
    <x v="0"/>
    <x v="4"/>
    <x v="5"/>
    <x v="0"/>
  </r>
  <r>
    <x v="23"/>
    <x v="16"/>
    <s v="M"/>
    <s v="Married"/>
    <x v="4"/>
    <x v="4"/>
    <s v="Accord"/>
    <x v="23"/>
    <x v="20"/>
    <x v="1"/>
    <x v="3"/>
    <x v="1"/>
    <x v="23"/>
    <x v="1"/>
    <x v="5"/>
    <x v="4"/>
    <x v="0"/>
    <x v="0"/>
  </r>
  <r>
    <x v="24"/>
    <x v="17"/>
    <s v="M"/>
    <s v="Married"/>
    <x v="3"/>
    <x v="1"/>
    <s v="F-150"/>
    <x v="24"/>
    <x v="21"/>
    <x v="2"/>
    <x v="3"/>
    <x v="1"/>
    <x v="24"/>
    <x v="2"/>
    <x v="5"/>
    <x v="2"/>
    <x v="11"/>
    <x v="1"/>
  </r>
  <r>
    <x v="25"/>
    <x v="14"/>
    <s v="F"/>
    <s v="Married"/>
    <x v="17"/>
    <x v="2"/>
    <s v="RAV4"/>
    <x v="25"/>
    <x v="17"/>
    <x v="2"/>
    <x v="2"/>
    <x v="0"/>
    <x v="25"/>
    <x v="1"/>
    <x v="6"/>
    <x v="4"/>
    <x v="12"/>
    <x v="0"/>
  </r>
  <r>
    <x v="26"/>
    <x v="18"/>
    <s v="F"/>
    <s v="Single"/>
    <x v="18"/>
    <x v="1"/>
    <s v="Escape"/>
    <x v="26"/>
    <x v="22"/>
    <x v="1"/>
    <x v="3"/>
    <x v="1"/>
    <x v="26"/>
    <x v="0"/>
    <x v="8"/>
    <x v="5"/>
    <x v="13"/>
    <x v="0"/>
  </r>
  <r>
    <x v="27"/>
    <x v="19"/>
    <s v="F"/>
    <s v="Married"/>
    <x v="19"/>
    <x v="2"/>
    <s v="Corolla"/>
    <x v="27"/>
    <x v="11"/>
    <x v="1"/>
    <x v="1"/>
    <x v="0"/>
    <x v="27"/>
    <x v="0"/>
    <x v="2"/>
    <x v="2"/>
    <x v="0"/>
    <x v="1"/>
  </r>
  <r>
    <x v="28"/>
    <x v="20"/>
    <s v="M"/>
    <s v="Widowed"/>
    <x v="5"/>
    <x v="2"/>
    <s v="Corolla"/>
    <x v="28"/>
    <x v="23"/>
    <x v="1"/>
    <x v="0"/>
    <x v="1"/>
    <x v="28"/>
    <x v="1"/>
    <x v="2"/>
    <x v="2"/>
    <x v="0"/>
    <x v="1"/>
  </r>
  <r>
    <x v="29"/>
    <x v="14"/>
    <s v="M"/>
    <s v="Widowed"/>
    <x v="20"/>
    <x v="4"/>
    <s v="CR-V"/>
    <x v="29"/>
    <x v="16"/>
    <x v="1"/>
    <x v="2"/>
    <x v="0"/>
    <x v="29"/>
    <x v="1"/>
    <x v="3"/>
    <x v="3"/>
    <x v="14"/>
    <x v="0"/>
  </r>
  <r>
    <x v="30"/>
    <x v="21"/>
    <s v="F"/>
    <s v="Divorced"/>
    <x v="21"/>
    <x v="5"/>
    <s v="Rogue"/>
    <x v="30"/>
    <x v="24"/>
    <x v="2"/>
    <x v="3"/>
    <x v="0"/>
    <x v="30"/>
    <x v="1"/>
    <x v="7"/>
    <x v="1"/>
    <x v="8"/>
    <x v="0"/>
  </r>
  <r>
    <x v="31"/>
    <x v="22"/>
    <s v="M"/>
    <s v="Widowed"/>
    <x v="6"/>
    <x v="4"/>
    <s v="CR-V"/>
    <x v="31"/>
    <x v="25"/>
    <x v="2"/>
    <x v="3"/>
    <x v="1"/>
    <x v="31"/>
    <x v="1"/>
    <x v="9"/>
    <x v="1"/>
    <x v="4"/>
    <x v="0"/>
  </r>
  <r>
    <x v="32"/>
    <x v="23"/>
    <s v="F"/>
    <s v="Single"/>
    <x v="21"/>
    <x v="0"/>
    <s v="Grand Cherokee"/>
    <x v="32"/>
    <x v="26"/>
    <x v="1"/>
    <x v="3"/>
    <x v="1"/>
    <x v="0"/>
    <x v="2"/>
    <x v="5"/>
    <x v="1"/>
    <x v="15"/>
    <x v="0"/>
  </r>
  <r>
    <x v="33"/>
    <x v="11"/>
    <s v="F"/>
    <s v="Single"/>
    <x v="22"/>
    <x v="3"/>
    <s v="Silverado"/>
    <x v="33"/>
    <x v="5"/>
    <x v="1"/>
    <x v="3"/>
    <x v="1"/>
    <x v="32"/>
    <x v="0"/>
    <x v="0"/>
    <x v="4"/>
    <x v="7"/>
    <x v="0"/>
  </r>
  <r>
    <x v="34"/>
    <x v="1"/>
    <s v="F"/>
    <s v="Divorced"/>
    <x v="21"/>
    <x v="3"/>
    <s v="Malibu"/>
    <x v="34"/>
    <x v="12"/>
    <x v="1"/>
    <x v="0"/>
    <x v="0"/>
    <x v="33"/>
    <x v="1"/>
    <x v="2"/>
    <x v="2"/>
    <x v="16"/>
    <x v="1"/>
  </r>
  <r>
    <x v="35"/>
    <x v="1"/>
    <s v="M"/>
    <s v="Married"/>
    <x v="16"/>
    <x v="2"/>
    <s v="RAV4"/>
    <x v="35"/>
    <x v="27"/>
    <x v="1"/>
    <x v="3"/>
    <x v="0"/>
    <x v="34"/>
    <x v="1"/>
    <x v="7"/>
    <x v="4"/>
    <x v="13"/>
    <x v="0"/>
  </r>
  <r>
    <x v="36"/>
    <x v="5"/>
    <s v="F"/>
    <s v="Single"/>
    <x v="21"/>
    <x v="4"/>
    <s v="Accord"/>
    <x v="36"/>
    <x v="28"/>
    <x v="1"/>
    <x v="3"/>
    <x v="0"/>
    <x v="35"/>
    <x v="1"/>
    <x v="2"/>
    <x v="2"/>
    <x v="9"/>
    <x v="1"/>
  </r>
  <r>
    <x v="37"/>
    <x v="24"/>
    <s v="F"/>
    <s v="Married"/>
    <x v="14"/>
    <x v="1"/>
    <s v="Escape"/>
    <x v="37"/>
    <x v="29"/>
    <x v="2"/>
    <x v="1"/>
    <x v="1"/>
    <x v="36"/>
    <x v="1"/>
    <x v="1"/>
    <x v="2"/>
    <x v="14"/>
    <x v="1"/>
  </r>
  <r>
    <x v="38"/>
    <x v="25"/>
    <s v="M"/>
    <s v="Single"/>
    <x v="10"/>
    <x v="5"/>
    <s v="Altima"/>
    <x v="38"/>
    <x v="30"/>
    <x v="0"/>
    <x v="3"/>
    <x v="0"/>
    <x v="37"/>
    <x v="0"/>
    <x v="5"/>
    <x v="0"/>
    <x v="12"/>
    <x v="0"/>
  </r>
  <r>
    <x v="39"/>
    <x v="26"/>
    <s v="F"/>
    <s v="Widowed"/>
    <x v="8"/>
    <x v="3"/>
    <s v="EquiNx"/>
    <x v="39"/>
    <x v="31"/>
    <x v="1"/>
    <x v="1"/>
    <x v="0"/>
    <x v="38"/>
    <x v="1"/>
    <x v="2"/>
    <x v="3"/>
    <x v="9"/>
    <x v="0"/>
  </r>
  <r>
    <x v="40"/>
    <x v="27"/>
    <s v="F"/>
    <s v="Married"/>
    <x v="22"/>
    <x v="4"/>
    <s v="Accord"/>
    <x v="40"/>
    <x v="23"/>
    <x v="1"/>
    <x v="0"/>
    <x v="1"/>
    <x v="39"/>
    <x v="1"/>
    <x v="9"/>
    <x v="2"/>
    <x v="5"/>
    <x v="1"/>
  </r>
  <r>
    <x v="41"/>
    <x v="28"/>
    <s v="F"/>
    <s v="Married"/>
    <x v="13"/>
    <x v="0"/>
    <s v="Grand Cherokee"/>
    <x v="41"/>
    <x v="32"/>
    <x v="2"/>
    <x v="3"/>
    <x v="1"/>
    <x v="9"/>
    <x v="1"/>
    <x v="0"/>
    <x v="0"/>
    <x v="5"/>
    <x v="0"/>
  </r>
  <r>
    <x v="42"/>
    <x v="29"/>
    <s v="M"/>
    <s v="Single"/>
    <x v="18"/>
    <x v="4"/>
    <s v="Accord"/>
    <x v="42"/>
    <x v="33"/>
    <x v="0"/>
    <x v="1"/>
    <x v="0"/>
    <x v="40"/>
    <x v="2"/>
    <x v="0"/>
    <x v="0"/>
    <x v="9"/>
    <x v="0"/>
  </r>
  <r>
    <x v="43"/>
    <x v="21"/>
    <s v="M"/>
    <s v="Married"/>
    <x v="15"/>
    <x v="5"/>
    <s v="Altima"/>
    <x v="43"/>
    <x v="34"/>
    <x v="1"/>
    <x v="3"/>
    <x v="1"/>
    <x v="41"/>
    <x v="1"/>
    <x v="3"/>
    <x v="2"/>
    <x v="8"/>
    <x v="1"/>
  </r>
  <r>
    <x v="44"/>
    <x v="30"/>
    <s v="F"/>
    <s v="Single"/>
    <x v="22"/>
    <x v="3"/>
    <s v="Malibu"/>
    <x v="44"/>
    <x v="35"/>
    <x v="0"/>
    <x v="0"/>
    <x v="0"/>
    <x v="42"/>
    <x v="0"/>
    <x v="4"/>
    <x v="0"/>
    <x v="2"/>
    <x v="0"/>
  </r>
  <r>
    <x v="45"/>
    <x v="31"/>
    <s v="M"/>
    <s v="Widowed"/>
    <x v="5"/>
    <x v="0"/>
    <s v="Wrangler"/>
    <x v="45"/>
    <x v="33"/>
    <x v="2"/>
    <x v="3"/>
    <x v="1"/>
    <x v="43"/>
    <x v="1"/>
    <x v="4"/>
    <x v="2"/>
    <x v="12"/>
    <x v="1"/>
  </r>
  <r>
    <x v="46"/>
    <x v="32"/>
    <s v="M"/>
    <s v="Married"/>
    <x v="15"/>
    <x v="4"/>
    <s v="Accord"/>
    <x v="46"/>
    <x v="27"/>
    <x v="1"/>
    <x v="1"/>
    <x v="0"/>
    <x v="44"/>
    <x v="0"/>
    <x v="9"/>
    <x v="5"/>
    <x v="17"/>
    <x v="0"/>
  </r>
  <r>
    <x v="47"/>
    <x v="24"/>
    <s v="F"/>
    <s v="Widowed"/>
    <x v="13"/>
    <x v="2"/>
    <s v="Camry"/>
    <x v="47"/>
    <x v="2"/>
    <x v="0"/>
    <x v="3"/>
    <x v="0"/>
    <x v="45"/>
    <x v="1"/>
    <x v="4"/>
    <x v="1"/>
    <x v="4"/>
    <x v="0"/>
  </r>
  <r>
    <x v="48"/>
    <x v="24"/>
    <s v="F"/>
    <s v="Divorced"/>
    <x v="0"/>
    <x v="6"/>
    <s v="5 Series"/>
    <x v="48"/>
    <x v="29"/>
    <x v="2"/>
    <x v="1"/>
    <x v="1"/>
    <x v="46"/>
    <x v="2"/>
    <x v="7"/>
    <x v="2"/>
    <x v="2"/>
    <x v="1"/>
  </r>
  <r>
    <x v="49"/>
    <x v="28"/>
    <s v="F"/>
    <s v="Single"/>
    <x v="21"/>
    <x v="1"/>
    <s v="Escape"/>
    <x v="49"/>
    <x v="36"/>
    <x v="2"/>
    <x v="2"/>
    <x v="1"/>
    <x v="47"/>
    <x v="0"/>
    <x v="4"/>
    <x v="5"/>
    <x v="15"/>
    <x v="0"/>
  </r>
  <r>
    <x v="50"/>
    <x v="0"/>
    <s v="F"/>
    <s v="Divorced"/>
    <x v="10"/>
    <x v="1"/>
    <s v="Focus"/>
    <x v="50"/>
    <x v="37"/>
    <x v="1"/>
    <x v="3"/>
    <x v="1"/>
    <x v="48"/>
    <x v="1"/>
    <x v="8"/>
    <x v="2"/>
    <x v="17"/>
    <x v="1"/>
  </r>
  <r>
    <x v="51"/>
    <x v="0"/>
    <s v="M"/>
    <s v="Divorced"/>
    <x v="1"/>
    <x v="2"/>
    <s v="Corolla"/>
    <x v="51"/>
    <x v="37"/>
    <x v="0"/>
    <x v="2"/>
    <x v="1"/>
    <x v="49"/>
    <x v="0"/>
    <x v="2"/>
    <x v="4"/>
    <x v="12"/>
    <x v="0"/>
  </r>
  <r>
    <x v="52"/>
    <x v="1"/>
    <s v="F"/>
    <s v="Widowed"/>
    <x v="21"/>
    <x v="2"/>
    <s v="Camry"/>
    <x v="52"/>
    <x v="29"/>
    <x v="1"/>
    <x v="3"/>
    <x v="1"/>
    <x v="50"/>
    <x v="0"/>
    <x v="9"/>
    <x v="1"/>
    <x v="13"/>
    <x v="0"/>
  </r>
  <r>
    <x v="53"/>
    <x v="33"/>
    <s v="F"/>
    <s v="Single"/>
    <x v="7"/>
    <x v="3"/>
    <s v="Silverado"/>
    <x v="53"/>
    <x v="38"/>
    <x v="2"/>
    <x v="1"/>
    <x v="0"/>
    <x v="51"/>
    <x v="2"/>
    <x v="7"/>
    <x v="0"/>
    <x v="4"/>
    <x v="0"/>
  </r>
  <r>
    <x v="54"/>
    <x v="34"/>
    <s v="F"/>
    <s v="Widowed"/>
    <x v="20"/>
    <x v="5"/>
    <s v="Rogue"/>
    <x v="54"/>
    <x v="20"/>
    <x v="1"/>
    <x v="2"/>
    <x v="0"/>
    <x v="52"/>
    <x v="0"/>
    <x v="7"/>
    <x v="5"/>
    <x v="7"/>
    <x v="0"/>
  </r>
  <r>
    <x v="55"/>
    <x v="35"/>
    <s v="F"/>
    <s v="Divorced"/>
    <x v="4"/>
    <x v="1"/>
    <s v="Escape"/>
    <x v="55"/>
    <x v="1"/>
    <x v="2"/>
    <x v="0"/>
    <x v="1"/>
    <x v="53"/>
    <x v="1"/>
    <x v="5"/>
    <x v="3"/>
    <x v="6"/>
    <x v="0"/>
  </r>
  <r>
    <x v="56"/>
    <x v="36"/>
    <s v="F"/>
    <s v="Widowed"/>
    <x v="8"/>
    <x v="1"/>
    <s v="F-150"/>
    <x v="56"/>
    <x v="22"/>
    <x v="2"/>
    <x v="1"/>
    <x v="1"/>
    <x v="54"/>
    <x v="1"/>
    <x v="0"/>
    <x v="5"/>
    <x v="11"/>
    <x v="0"/>
  </r>
  <r>
    <x v="57"/>
    <x v="8"/>
    <s v="F"/>
    <s v="Married"/>
    <x v="23"/>
    <x v="2"/>
    <s v="Camry"/>
    <x v="57"/>
    <x v="9"/>
    <x v="1"/>
    <x v="1"/>
    <x v="1"/>
    <x v="55"/>
    <x v="2"/>
    <x v="0"/>
    <x v="2"/>
    <x v="18"/>
    <x v="1"/>
  </r>
  <r>
    <x v="58"/>
    <x v="37"/>
    <s v="F"/>
    <s v="Married"/>
    <x v="22"/>
    <x v="5"/>
    <s v="Sentra"/>
    <x v="58"/>
    <x v="10"/>
    <x v="0"/>
    <x v="3"/>
    <x v="0"/>
    <x v="56"/>
    <x v="2"/>
    <x v="5"/>
    <x v="5"/>
    <x v="7"/>
    <x v="0"/>
  </r>
  <r>
    <x v="59"/>
    <x v="38"/>
    <s v="F"/>
    <s v="Widowed"/>
    <x v="7"/>
    <x v="2"/>
    <s v="RAV4"/>
    <x v="59"/>
    <x v="30"/>
    <x v="0"/>
    <x v="0"/>
    <x v="1"/>
    <x v="57"/>
    <x v="2"/>
    <x v="6"/>
    <x v="5"/>
    <x v="10"/>
    <x v="0"/>
  </r>
  <r>
    <x v="60"/>
    <x v="31"/>
    <s v="F"/>
    <s v="Widowed"/>
    <x v="3"/>
    <x v="4"/>
    <s v="Civic"/>
    <x v="60"/>
    <x v="39"/>
    <x v="2"/>
    <x v="3"/>
    <x v="0"/>
    <x v="58"/>
    <x v="1"/>
    <x v="4"/>
    <x v="2"/>
    <x v="19"/>
    <x v="1"/>
  </r>
  <r>
    <x v="61"/>
    <x v="12"/>
    <s v="F"/>
    <s v="Divorced"/>
    <x v="8"/>
    <x v="1"/>
    <s v="Escape"/>
    <x v="61"/>
    <x v="40"/>
    <x v="1"/>
    <x v="0"/>
    <x v="0"/>
    <x v="59"/>
    <x v="0"/>
    <x v="0"/>
    <x v="4"/>
    <x v="9"/>
    <x v="0"/>
  </r>
  <r>
    <x v="62"/>
    <x v="33"/>
    <s v="F"/>
    <s v="Widowed"/>
    <x v="6"/>
    <x v="1"/>
    <s v="Focus"/>
    <x v="62"/>
    <x v="41"/>
    <x v="2"/>
    <x v="3"/>
    <x v="0"/>
    <x v="21"/>
    <x v="1"/>
    <x v="4"/>
    <x v="4"/>
    <x v="9"/>
    <x v="0"/>
  </r>
  <r>
    <x v="63"/>
    <x v="39"/>
    <s v="F"/>
    <s v="Divorced"/>
    <x v="4"/>
    <x v="3"/>
    <s v="Malibu"/>
    <x v="63"/>
    <x v="3"/>
    <x v="0"/>
    <x v="0"/>
    <x v="0"/>
    <x v="60"/>
    <x v="1"/>
    <x v="2"/>
    <x v="4"/>
    <x v="19"/>
    <x v="0"/>
  </r>
  <r>
    <x v="64"/>
    <x v="38"/>
    <s v="M"/>
    <s v="Divorced"/>
    <x v="19"/>
    <x v="4"/>
    <s v="CR-V"/>
    <x v="64"/>
    <x v="42"/>
    <x v="1"/>
    <x v="3"/>
    <x v="0"/>
    <x v="61"/>
    <x v="2"/>
    <x v="3"/>
    <x v="2"/>
    <x v="5"/>
    <x v="1"/>
  </r>
  <r>
    <x v="65"/>
    <x v="18"/>
    <s v="F"/>
    <s v="Widowed"/>
    <x v="9"/>
    <x v="4"/>
    <s v="Civic"/>
    <x v="65"/>
    <x v="41"/>
    <x v="2"/>
    <x v="2"/>
    <x v="1"/>
    <x v="62"/>
    <x v="1"/>
    <x v="0"/>
    <x v="0"/>
    <x v="7"/>
    <x v="0"/>
  </r>
  <r>
    <x v="66"/>
    <x v="26"/>
    <s v="M"/>
    <s v="Widowed"/>
    <x v="22"/>
    <x v="4"/>
    <s v="Civic"/>
    <x v="66"/>
    <x v="27"/>
    <x v="1"/>
    <x v="1"/>
    <x v="1"/>
    <x v="63"/>
    <x v="1"/>
    <x v="5"/>
    <x v="2"/>
    <x v="17"/>
    <x v="1"/>
  </r>
  <r>
    <x v="67"/>
    <x v="40"/>
    <s v="F"/>
    <s v="Divorced"/>
    <x v="3"/>
    <x v="3"/>
    <s v="EquiNx"/>
    <x v="67"/>
    <x v="6"/>
    <x v="0"/>
    <x v="1"/>
    <x v="1"/>
    <x v="64"/>
    <x v="2"/>
    <x v="5"/>
    <x v="4"/>
    <x v="12"/>
    <x v="0"/>
  </r>
  <r>
    <x v="68"/>
    <x v="28"/>
    <s v="F"/>
    <s v="Single"/>
    <x v="15"/>
    <x v="5"/>
    <s v="Rogue"/>
    <x v="68"/>
    <x v="19"/>
    <x v="1"/>
    <x v="1"/>
    <x v="0"/>
    <x v="65"/>
    <x v="1"/>
    <x v="0"/>
    <x v="2"/>
    <x v="10"/>
    <x v="1"/>
  </r>
  <r>
    <x v="69"/>
    <x v="31"/>
    <s v="F"/>
    <s v="Married"/>
    <x v="2"/>
    <x v="5"/>
    <s v="Sentra"/>
    <x v="69"/>
    <x v="19"/>
    <x v="2"/>
    <x v="2"/>
    <x v="0"/>
    <x v="66"/>
    <x v="2"/>
    <x v="6"/>
    <x v="3"/>
    <x v="12"/>
    <x v="0"/>
  </r>
  <r>
    <x v="70"/>
    <x v="37"/>
    <s v="M"/>
    <s v="Single"/>
    <x v="6"/>
    <x v="1"/>
    <s v="F-150"/>
    <x v="70"/>
    <x v="6"/>
    <x v="1"/>
    <x v="3"/>
    <x v="0"/>
    <x v="67"/>
    <x v="2"/>
    <x v="1"/>
    <x v="2"/>
    <x v="11"/>
    <x v="1"/>
  </r>
  <r>
    <x v="71"/>
    <x v="3"/>
    <s v="M"/>
    <s v="Single"/>
    <x v="8"/>
    <x v="2"/>
    <s v="Camry"/>
    <x v="71"/>
    <x v="36"/>
    <x v="1"/>
    <x v="1"/>
    <x v="1"/>
    <x v="68"/>
    <x v="0"/>
    <x v="4"/>
    <x v="1"/>
    <x v="2"/>
    <x v="0"/>
  </r>
  <r>
    <x v="72"/>
    <x v="17"/>
    <s v="F"/>
    <s v="Single"/>
    <x v="23"/>
    <x v="5"/>
    <s v="Sentra"/>
    <x v="72"/>
    <x v="21"/>
    <x v="1"/>
    <x v="3"/>
    <x v="0"/>
    <x v="69"/>
    <x v="2"/>
    <x v="9"/>
    <x v="0"/>
    <x v="17"/>
    <x v="0"/>
  </r>
  <r>
    <x v="73"/>
    <x v="25"/>
    <s v="M"/>
    <s v="Single"/>
    <x v="23"/>
    <x v="3"/>
    <s v="Malibu"/>
    <x v="73"/>
    <x v="9"/>
    <x v="0"/>
    <x v="3"/>
    <x v="0"/>
    <x v="70"/>
    <x v="1"/>
    <x v="4"/>
    <x v="2"/>
    <x v="2"/>
    <x v="1"/>
  </r>
  <r>
    <x v="74"/>
    <x v="41"/>
    <s v="M"/>
    <s v="Divorced"/>
    <x v="2"/>
    <x v="0"/>
    <s v="Grand Cherokee"/>
    <x v="74"/>
    <x v="0"/>
    <x v="2"/>
    <x v="3"/>
    <x v="0"/>
    <x v="71"/>
    <x v="2"/>
    <x v="5"/>
    <x v="1"/>
    <x v="4"/>
    <x v="0"/>
  </r>
  <r>
    <x v="75"/>
    <x v="10"/>
    <s v="M"/>
    <s v="Widowed"/>
    <x v="1"/>
    <x v="5"/>
    <s v="Sentra"/>
    <x v="75"/>
    <x v="11"/>
    <x v="1"/>
    <x v="3"/>
    <x v="1"/>
    <x v="72"/>
    <x v="1"/>
    <x v="3"/>
    <x v="3"/>
    <x v="2"/>
    <x v="0"/>
  </r>
  <r>
    <x v="76"/>
    <x v="0"/>
    <s v="M"/>
    <s v="Single"/>
    <x v="10"/>
    <x v="2"/>
    <s v="Corolla"/>
    <x v="76"/>
    <x v="8"/>
    <x v="1"/>
    <x v="2"/>
    <x v="0"/>
    <x v="73"/>
    <x v="2"/>
    <x v="6"/>
    <x v="5"/>
    <x v="6"/>
    <x v="0"/>
  </r>
  <r>
    <x v="77"/>
    <x v="30"/>
    <s v="F"/>
    <s v="Widowed"/>
    <x v="18"/>
    <x v="2"/>
    <s v="Corolla"/>
    <x v="37"/>
    <x v="18"/>
    <x v="1"/>
    <x v="1"/>
    <x v="0"/>
    <x v="6"/>
    <x v="0"/>
    <x v="3"/>
    <x v="3"/>
    <x v="19"/>
    <x v="0"/>
  </r>
  <r>
    <x v="78"/>
    <x v="42"/>
    <s v="M"/>
    <s v="Divorced"/>
    <x v="7"/>
    <x v="1"/>
    <s v="F-150"/>
    <x v="77"/>
    <x v="20"/>
    <x v="1"/>
    <x v="3"/>
    <x v="0"/>
    <x v="74"/>
    <x v="2"/>
    <x v="7"/>
    <x v="2"/>
    <x v="13"/>
    <x v="1"/>
  </r>
  <r>
    <x v="79"/>
    <x v="3"/>
    <s v="F"/>
    <s v="Divorced"/>
    <x v="1"/>
    <x v="1"/>
    <s v="F-150"/>
    <x v="78"/>
    <x v="43"/>
    <x v="2"/>
    <x v="0"/>
    <x v="1"/>
    <x v="2"/>
    <x v="0"/>
    <x v="9"/>
    <x v="2"/>
    <x v="14"/>
    <x v="1"/>
  </r>
  <r>
    <x v="80"/>
    <x v="43"/>
    <s v="F"/>
    <s v="Widowed"/>
    <x v="8"/>
    <x v="1"/>
    <s v="F-150"/>
    <x v="79"/>
    <x v="19"/>
    <x v="0"/>
    <x v="3"/>
    <x v="0"/>
    <x v="75"/>
    <x v="0"/>
    <x v="3"/>
    <x v="2"/>
    <x v="12"/>
    <x v="1"/>
  </r>
  <r>
    <x v="81"/>
    <x v="44"/>
    <s v="F"/>
    <s v="Single"/>
    <x v="17"/>
    <x v="5"/>
    <s v="Rogue"/>
    <x v="80"/>
    <x v="44"/>
    <x v="2"/>
    <x v="3"/>
    <x v="1"/>
    <x v="76"/>
    <x v="0"/>
    <x v="5"/>
    <x v="2"/>
    <x v="6"/>
    <x v="1"/>
  </r>
  <r>
    <x v="82"/>
    <x v="6"/>
    <s v="M"/>
    <s v="Divorced"/>
    <x v="19"/>
    <x v="0"/>
    <s v="Grand Cherokee"/>
    <x v="81"/>
    <x v="45"/>
    <x v="1"/>
    <x v="1"/>
    <x v="1"/>
    <x v="77"/>
    <x v="0"/>
    <x v="2"/>
    <x v="0"/>
    <x v="20"/>
    <x v="0"/>
  </r>
  <r>
    <x v="83"/>
    <x v="21"/>
    <s v="F"/>
    <s v="Divorced"/>
    <x v="22"/>
    <x v="3"/>
    <s v="EquiNx"/>
    <x v="82"/>
    <x v="24"/>
    <x v="1"/>
    <x v="3"/>
    <x v="0"/>
    <x v="78"/>
    <x v="2"/>
    <x v="8"/>
    <x v="5"/>
    <x v="4"/>
    <x v="0"/>
  </r>
  <r>
    <x v="84"/>
    <x v="39"/>
    <s v="M"/>
    <s v="Widowed"/>
    <x v="4"/>
    <x v="1"/>
    <s v="F-150"/>
    <x v="83"/>
    <x v="39"/>
    <x v="0"/>
    <x v="3"/>
    <x v="0"/>
    <x v="79"/>
    <x v="0"/>
    <x v="2"/>
    <x v="5"/>
    <x v="9"/>
    <x v="0"/>
  </r>
  <r>
    <x v="85"/>
    <x v="45"/>
    <s v="F"/>
    <s v="Single"/>
    <x v="2"/>
    <x v="1"/>
    <s v="Escape"/>
    <x v="84"/>
    <x v="26"/>
    <x v="1"/>
    <x v="1"/>
    <x v="0"/>
    <x v="80"/>
    <x v="2"/>
    <x v="6"/>
    <x v="1"/>
    <x v="6"/>
    <x v="0"/>
  </r>
  <r>
    <x v="86"/>
    <x v="9"/>
    <s v="F"/>
    <s v="Married"/>
    <x v="20"/>
    <x v="2"/>
    <s v="Camry"/>
    <x v="85"/>
    <x v="46"/>
    <x v="1"/>
    <x v="2"/>
    <x v="0"/>
    <x v="81"/>
    <x v="0"/>
    <x v="0"/>
    <x v="3"/>
    <x v="9"/>
    <x v="0"/>
  </r>
  <r>
    <x v="87"/>
    <x v="1"/>
    <s v="F"/>
    <s v="Widowed"/>
    <x v="19"/>
    <x v="0"/>
    <s v="Grand Cherokee"/>
    <x v="86"/>
    <x v="1"/>
    <x v="1"/>
    <x v="3"/>
    <x v="0"/>
    <x v="82"/>
    <x v="1"/>
    <x v="7"/>
    <x v="0"/>
    <x v="9"/>
    <x v="0"/>
  </r>
  <r>
    <x v="88"/>
    <x v="44"/>
    <s v="M"/>
    <s v="Single"/>
    <x v="13"/>
    <x v="5"/>
    <s v="Sentra"/>
    <x v="87"/>
    <x v="21"/>
    <x v="1"/>
    <x v="3"/>
    <x v="0"/>
    <x v="83"/>
    <x v="2"/>
    <x v="4"/>
    <x v="5"/>
    <x v="17"/>
    <x v="0"/>
  </r>
  <r>
    <x v="89"/>
    <x v="11"/>
    <s v="F"/>
    <s v="Single"/>
    <x v="8"/>
    <x v="0"/>
    <s v="Wrangler"/>
    <x v="88"/>
    <x v="4"/>
    <x v="2"/>
    <x v="2"/>
    <x v="0"/>
    <x v="84"/>
    <x v="1"/>
    <x v="6"/>
    <x v="4"/>
    <x v="2"/>
    <x v="0"/>
  </r>
  <r>
    <x v="90"/>
    <x v="19"/>
    <s v="F"/>
    <s v="Married"/>
    <x v="12"/>
    <x v="4"/>
    <s v="Accord"/>
    <x v="89"/>
    <x v="11"/>
    <x v="2"/>
    <x v="2"/>
    <x v="0"/>
    <x v="25"/>
    <x v="1"/>
    <x v="7"/>
    <x v="5"/>
    <x v="4"/>
    <x v="0"/>
  </r>
  <r>
    <x v="91"/>
    <x v="46"/>
    <s v="M"/>
    <s v="Single"/>
    <x v="15"/>
    <x v="1"/>
    <s v="F-150"/>
    <x v="90"/>
    <x v="31"/>
    <x v="2"/>
    <x v="0"/>
    <x v="1"/>
    <x v="85"/>
    <x v="1"/>
    <x v="4"/>
    <x v="2"/>
    <x v="7"/>
    <x v="1"/>
  </r>
  <r>
    <x v="92"/>
    <x v="8"/>
    <s v="F"/>
    <s v="Single"/>
    <x v="15"/>
    <x v="3"/>
    <s v="EquiNx"/>
    <x v="91"/>
    <x v="2"/>
    <x v="1"/>
    <x v="3"/>
    <x v="0"/>
    <x v="86"/>
    <x v="1"/>
    <x v="0"/>
    <x v="1"/>
    <x v="19"/>
    <x v="0"/>
  </r>
  <r>
    <x v="93"/>
    <x v="41"/>
    <s v="M"/>
    <s v="Single"/>
    <x v="13"/>
    <x v="2"/>
    <s v="Camry"/>
    <x v="92"/>
    <x v="47"/>
    <x v="2"/>
    <x v="1"/>
    <x v="0"/>
    <x v="87"/>
    <x v="0"/>
    <x v="3"/>
    <x v="2"/>
    <x v="12"/>
    <x v="1"/>
  </r>
  <r>
    <x v="94"/>
    <x v="26"/>
    <s v="M"/>
    <s v="Widowed"/>
    <x v="12"/>
    <x v="3"/>
    <s v="Malibu"/>
    <x v="93"/>
    <x v="7"/>
    <x v="2"/>
    <x v="3"/>
    <x v="1"/>
    <x v="45"/>
    <x v="2"/>
    <x v="2"/>
    <x v="0"/>
    <x v="15"/>
    <x v="0"/>
  </r>
  <r>
    <x v="95"/>
    <x v="14"/>
    <s v="M"/>
    <s v="Divorced"/>
    <x v="19"/>
    <x v="0"/>
    <s v="Grand Cherokee"/>
    <x v="33"/>
    <x v="48"/>
    <x v="2"/>
    <x v="2"/>
    <x v="0"/>
    <x v="88"/>
    <x v="0"/>
    <x v="2"/>
    <x v="2"/>
    <x v="8"/>
    <x v="1"/>
  </r>
  <r>
    <x v="96"/>
    <x v="44"/>
    <s v="F"/>
    <s v="Widowed"/>
    <x v="24"/>
    <x v="6"/>
    <s v="3 Series"/>
    <x v="94"/>
    <x v="21"/>
    <x v="1"/>
    <x v="1"/>
    <x v="0"/>
    <x v="76"/>
    <x v="1"/>
    <x v="5"/>
    <x v="2"/>
    <x v="4"/>
    <x v="1"/>
  </r>
  <r>
    <x v="97"/>
    <x v="0"/>
    <s v="M"/>
    <s v="Widowed"/>
    <x v="24"/>
    <x v="2"/>
    <s v="Corolla"/>
    <x v="95"/>
    <x v="49"/>
    <x v="2"/>
    <x v="3"/>
    <x v="0"/>
    <x v="89"/>
    <x v="0"/>
    <x v="1"/>
    <x v="1"/>
    <x v="0"/>
    <x v="0"/>
  </r>
  <r>
    <x v="98"/>
    <x v="18"/>
    <s v="M"/>
    <s v="Divorced"/>
    <x v="11"/>
    <x v="4"/>
    <s v="Civic"/>
    <x v="96"/>
    <x v="22"/>
    <x v="0"/>
    <x v="1"/>
    <x v="1"/>
    <x v="90"/>
    <x v="2"/>
    <x v="9"/>
    <x v="2"/>
    <x v="0"/>
    <x v="1"/>
  </r>
  <r>
    <x v="99"/>
    <x v="29"/>
    <s v="M"/>
    <s v="Married"/>
    <x v="7"/>
    <x v="0"/>
    <s v="Grand Cherokee"/>
    <x v="97"/>
    <x v="3"/>
    <x v="1"/>
    <x v="3"/>
    <x v="0"/>
    <x v="4"/>
    <x v="0"/>
    <x v="8"/>
    <x v="3"/>
    <x v="2"/>
    <x v="0"/>
  </r>
  <r>
    <x v="100"/>
    <x v="47"/>
    <s v="F"/>
    <s v="Single"/>
    <x v="15"/>
    <x v="6"/>
    <s v="X5"/>
    <x v="98"/>
    <x v="13"/>
    <x v="1"/>
    <x v="3"/>
    <x v="0"/>
    <x v="91"/>
    <x v="0"/>
    <x v="4"/>
    <x v="5"/>
    <x v="13"/>
    <x v="0"/>
  </r>
  <r>
    <x v="101"/>
    <x v="8"/>
    <s v="F"/>
    <s v="Single"/>
    <x v="0"/>
    <x v="1"/>
    <s v="F-150"/>
    <x v="99"/>
    <x v="9"/>
    <x v="2"/>
    <x v="2"/>
    <x v="0"/>
    <x v="92"/>
    <x v="1"/>
    <x v="0"/>
    <x v="2"/>
    <x v="11"/>
    <x v="1"/>
  </r>
  <r>
    <x v="102"/>
    <x v="40"/>
    <s v="M"/>
    <s v="Single"/>
    <x v="24"/>
    <x v="2"/>
    <s v="Corolla"/>
    <x v="100"/>
    <x v="6"/>
    <x v="2"/>
    <x v="0"/>
    <x v="1"/>
    <x v="93"/>
    <x v="0"/>
    <x v="1"/>
    <x v="4"/>
    <x v="13"/>
    <x v="0"/>
  </r>
  <r>
    <x v="103"/>
    <x v="34"/>
    <s v="F"/>
    <s v="Widowed"/>
    <x v="6"/>
    <x v="5"/>
    <s v="Rogue"/>
    <x v="101"/>
    <x v="50"/>
    <x v="1"/>
    <x v="0"/>
    <x v="1"/>
    <x v="94"/>
    <x v="1"/>
    <x v="2"/>
    <x v="2"/>
    <x v="20"/>
    <x v="1"/>
  </r>
  <r>
    <x v="104"/>
    <x v="13"/>
    <s v="M"/>
    <s v="Divorced"/>
    <x v="13"/>
    <x v="6"/>
    <s v="5 Series"/>
    <x v="102"/>
    <x v="18"/>
    <x v="1"/>
    <x v="1"/>
    <x v="0"/>
    <x v="95"/>
    <x v="1"/>
    <x v="9"/>
    <x v="4"/>
    <x v="8"/>
    <x v="0"/>
  </r>
  <r>
    <x v="105"/>
    <x v="17"/>
    <s v="M"/>
    <s v="Widowed"/>
    <x v="2"/>
    <x v="5"/>
    <s v="Sentra"/>
    <x v="103"/>
    <x v="47"/>
    <x v="2"/>
    <x v="0"/>
    <x v="1"/>
    <x v="67"/>
    <x v="2"/>
    <x v="7"/>
    <x v="2"/>
    <x v="4"/>
    <x v="1"/>
  </r>
  <r>
    <x v="106"/>
    <x v="0"/>
    <s v="F"/>
    <s v="Married"/>
    <x v="7"/>
    <x v="1"/>
    <s v="Focus"/>
    <x v="104"/>
    <x v="37"/>
    <x v="1"/>
    <x v="0"/>
    <x v="1"/>
    <x v="96"/>
    <x v="1"/>
    <x v="4"/>
    <x v="5"/>
    <x v="13"/>
    <x v="0"/>
  </r>
  <r>
    <x v="107"/>
    <x v="24"/>
    <s v="F"/>
    <s v="Divorced"/>
    <x v="8"/>
    <x v="2"/>
    <s v="RAV4"/>
    <x v="105"/>
    <x v="42"/>
    <x v="2"/>
    <x v="3"/>
    <x v="0"/>
    <x v="44"/>
    <x v="2"/>
    <x v="8"/>
    <x v="4"/>
    <x v="14"/>
    <x v="0"/>
  </r>
  <r>
    <x v="108"/>
    <x v="26"/>
    <s v="F"/>
    <s v="Married"/>
    <x v="4"/>
    <x v="4"/>
    <s v="CR-V"/>
    <x v="106"/>
    <x v="35"/>
    <x v="1"/>
    <x v="1"/>
    <x v="0"/>
    <x v="97"/>
    <x v="1"/>
    <x v="8"/>
    <x v="2"/>
    <x v="12"/>
    <x v="1"/>
  </r>
  <r>
    <x v="109"/>
    <x v="22"/>
    <s v="F"/>
    <s v="Widowed"/>
    <x v="24"/>
    <x v="1"/>
    <s v="Focus"/>
    <x v="107"/>
    <x v="37"/>
    <x v="1"/>
    <x v="2"/>
    <x v="1"/>
    <x v="98"/>
    <x v="1"/>
    <x v="7"/>
    <x v="1"/>
    <x v="10"/>
    <x v="0"/>
  </r>
  <r>
    <x v="110"/>
    <x v="7"/>
    <s v="F"/>
    <s v="Married"/>
    <x v="23"/>
    <x v="6"/>
    <s v="5 Series"/>
    <x v="108"/>
    <x v="8"/>
    <x v="1"/>
    <x v="3"/>
    <x v="1"/>
    <x v="86"/>
    <x v="2"/>
    <x v="7"/>
    <x v="3"/>
    <x v="20"/>
    <x v="0"/>
  </r>
  <r>
    <x v="111"/>
    <x v="17"/>
    <s v="M"/>
    <s v="Single"/>
    <x v="8"/>
    <x v="4"/>
    <s v="CR-V"/>
    <x v="109"/>
    <x v="51"/>
    <x v="0"/>
    <x v="3"/>
    <x v="1"/>
    <x v="99"/>
    <x v="2"/>
    <x v="5"/>
    <x v="0"/>
    <x v="5"/>
    <x v="0"/>
  </r>
  <r>
    <x v="112"/>
    <x v="42"/>
    <s v="M"/>
    <s v="Married"/>
    <x v="24"/>
    <x v="6"/>
    <s v="3 Series"/>
    <x v="110"/>
    <x v="18"/>
    <x v="1"/>
    <x v="1"/>
    <x v="1"/>
    <x v="74"/>
    <x v="1"/>
    <x v="5"/>
    <x v="4"/>
    <x v="17"/>
    <x v="0"/>
  </r>
  <r>
    <x v="113"/>
    <x v="26"/>
    <s v="F"/>
    <s v="Married"/>
    <x v="5"/>
    <x v="2"/>
    <s v="Camry"/>
    <x v="26"/>
    <x v="7"/>
    <x v="0"/>
    <x v="0"/>
    <x v="1"/>
    <x v="100"/>
    <x v="1"/>
    <x v="8"/>
    <x v="2"/>
    <x v="18"/>
    <x v="1"/>
  </r>
  <r>
    <x v="114"/>
    <x v="18"/>
    <s v="F"/>
    <s v="Single"/>
    <x v="8"/>
    <x v="5"/>
    <s v="Rogue"/>
    <x v="111"/>
    <x v="41"/>
    <x v="1"/>
    <x v="2"/>
    <x v="0"/>
    <x v="101"/>
    <x v="0"/>
    <x v="8"/>
    <x v="2"/>
    <x v="10"/>
    <x v="1"/>
  </r>
  <r>
    <x v="115"/>
    <x v="48"/>
    <s v="M"/>
    <s v="Divorced"/>
    <x v="9"/>
    <x v="4"/>
    <s v="Accord"/>
    <x v="112"/>
    <x v="34"/>
    <x v="2"/>
    <x v="3"/>
    <x v="0"/>
    <x v="102"/>
    <x v="0"/>
    <x v="5"/>
    <x v="0"/>
    <x v="18"/>
    <x v="0"/>
  </r>
  <r>
    <x v="116"/>
    <x v="38"/>
    <s v="M"/>
    <s v="Single"/>
    <x v="0"/>
    <x v="4"/>
    <s v="CR-V"/>
    <x v="113"/>
    <x v="30"/>
    <x v="1"/>
    <x v="0"/>
    <x v="0"/>
    <x v="103"/>
    <x v="2"/>
    <x v="9"/>
    <x v="2"/>
    <x v="2"/>
    <x v="1"/>
  </r>
  <r>
    <x v="117"/>
    <x v="20"/>
    <s v="F"/>
    <s v="Divorced"/>
    <x v="15"/>
    <x v="4"/>
    <s v="Accord"/>
    <x v="83"/>
    <x v="49"/>
    <x v="2"/>
    <x v="0"/>
    <x v="0"/>
    <x v="104"/>
    <x v="2"/>
    <x v="7"/>
    <x v="3"/>
    <x v="19"/>
    <x v="0"/>
  </r>
  <r>
    <x v="118"/>
    <x v="30"/>
    <s v="F"/>
    <s v="Divorced"/>
    <x v="18"/>
    <x v="1"/>
    <s v="Focus"/>
    <x v="114"/>
    <x v="18"/>
    <x v="2"/>
    <x v="2"/>
    <x v="0"/>
    <x v="105"/>
    <x v="0"/>
    <x v="0"/>
    <x v="2"/>
    <x v="8"/>
    <x v="1"/>
  </r>
  <r>
    <x v="119"/>
    <x v="7"/>
    <s v="M"/>
    <s v="Married"/>
    <x v="14"/>
    <x v="2"/>
    <s v="Corolla"/>
    <x v="115"/>
    <x v="26"/>
    <x v="2"/>
    <x v="1"/>
    <x v="0"/>
    <x v="32"/>
    <x v="2"/>
    <x v="1"/>
    <x v="1"/>
    <x v="13"/>
    <x v="0"/>
  </r>
  <r>
    <x v="120"/>
    <x v="49"/>
    <s v="F"/>
    <s v="Widowed"/>
    <x v="23"/>
    <x v="1"/>
    <s v="Focus"/>
    <x v="116"/>
    <x v="34"/>
    <x v="2"/>
    <x v="2"/>
    <x v="1"/>
    <x v="58"/>
    <x v="0"/>
    <x v="4"/>
    <x v="4"/>
    <x v="1"/>
    <x v="0"/>
  </r>
  <r>
    <x v="121"/>
    <x v="44"/>
    <s v="M"/>
    <s v="Widowed"/>
    <x v="5"/>
    <x v="5"/>
    <s v="Sentra"/>
    <x v="117"/>
    <x v="21"/>
    <x v="1"/>
    <x v="3"/>
    <x v="0"/>
    <x v="106"/>
    <x v="2"/>
    <x v="1"/>
    <x v="5"/>
    <x v="6"/>
    <x v="0"/>
  </r>
  <r>
    <x v="122"/>
    <x v="50"/>
    <s v="F"/>
    <s v="Single"/>
    <x v="11"/>
    <x v="2"/>
    <s v="Corolla"/>
    <x v="118"/>
    <x v="52"/>
    <x v="2"/>
    <x v="3"/>
    <x v="0"/>
    <x v="107"/>
    <x v="2"/>
    <x v="5"/>
    <x v="5"/>
    <x v="14"/>
    <x v="0"/>
  </r>
  <r>
    <x v="123"/>
    <x v="20"/>
    <s v="M"/>
    <s v="Single"/>
    <x v="11"/>
    <x v="1"/>
    <s v="Focus"/>
    <x v="119"/>
    <x v="53"/>
    <x v="1"/>
    <x v="2"/>
    <x v="0"/>
    <x v="108"/>
    <x v="1"/>
    <x v="4"/>
    <x v="4"/>
    <x v="13"/>
    <x v="0"/>
  </r>
  <r>
    <x v="124"/>
    <x v="45"/>
    <s v="F"/>
    <s v="Divorced"/>
    <x v="3"/>
    <x v="1"/>
    <s v="Focus"/>
    <x v="120"/>
    <x v="6"/>
    <x v="2"/>
    <x v="1"/>
    <x v="1"/>
    <x v="109"/>
    <x v="2"/>
    <x v="6"/>
    <x v="5"/>
    <x v="9"/>
    <x v="0"/>
  </r>
  <r>
    <x v="125"/>
    <x v="33"/>
    <s v="F"/>
    <s v="Single"/>
    <x v="5"/>
    <x v="5"/>
    <s v="Sentra"/>
    <x v="121"/>
    <x v="39"/>
    <x v="2"/>
    <x v="1"/>
    <x v="0"/>
    <x v="110"/>
    <x v="0"/>
    <x v="5"/>
    <x v="5"/>
    <x v="18"/>
    <x v="0"/>
  </r>
  <r>
    <x v="126"/>
    <x v="16"/>
    <s v="F"/>
    <s v="Married"/>
    <x v="12"/>
    <x v="0"/>
    <s v="Wrangler"/>
    <x v="122"/>
    <x v="50"/>
    <x v="2"/>
    <x v="3"/>
    <x v="1"/>
    <x v="42"/>
    <x v="1"/>
    <x v="2"/>
    <x v="5"/>
    <x v="14"/>
    <x v="0"/>
  </r>
  <r>
    <x v="127"/>
    <x v="12"/>
    <s v="F"/>
    <s v="Divorced"/>
    <x v="7"/>
    <x v="1"/>
    <s v="Focus"/>
    <x v="123"/>
    <x v="40"/>
    <x v="1"/>
    <x v="1"/>
    <x v="1"/>
    <x v="111"/>
    <x v="0"/>
    <x v="7"/>
    <x v="0"/>
    <x v="20"/>
    <x v="0"/>
  </r>
  <r>
    <x v="128"/>
    <x v="24"/>
    <s v="F"/>
    <s v="Widowed"/>
    <x v="1"/>
    <x v="5"/>
    <s v="Sentra"/>
    <x v="124"/>
    <x v="2"/>
    <x v="1"/>
    <x v="1"/>
    <x v="0"/>
    <x v="112"/>
    <x v="1"/>
    <x v="1"/>
    <x v="2"/>
    <x v="5"/>
    <x v="1"/>
  </r>
  <r>
    <x v="129"/>
    <x v="20"/>
    <s v="M"/>
    <s v="Single"/>
    <x v="24"/>
    <x v="5"/>
    <s v="Rogue"/>
    <x v="125"/>
    <x v="53"/>
    <x v="1"/>
    <x v="1"/>
    <x v="0"/>
    <x v="113"/>
    <x v="2"/>
    <x v="7"/>
    <x v="2"/>
    <x v="10"/>
    <x v="1"/>
  </r>
  <r>
    <x v="130"/>
    <x v="27"/>
    <s v="F"/>
    <s v="Married"/>
    <x v="20"/>
    <x v="2"/>
    <s v="RAV4"/>
    <x v="126"/>
    <x v="46"/>
    <x v="0"/>
    <x v="1"/>
    <x v="0"/>
    <x v="55"/>
    <x v="1"/>
    <x v="1"/>
    <x v="3"/>
    <x v="10"/>
    <x v="0"/>
  </r>
  <r>
    <x v="131"/>
    <x v="50"/>
    <s v="M"/>
    <s v="Single"/>
    <x v="7"/>
    <x v="4"/>
    <s v="Accord"/>
    <x v="127"/>
    <x v="42"/>
    <x v="2"/>
    <x v="0"/>
    <x v="0"/>
    <x v="114"/>
    <x v="1"/>
    <x v="7"/>
    <x v="2"/>
    <x v="2"/>
    <x v="1"/>
  </r>
  <r>
    <x v="132"/>
    <x v="25"/>
    <s v="F"/>
    <s v="Married"/>
    <x v="7"/>
    <x v="2"/>
    <s v="Camry"/>
    <x v="128"/>
    <x v="42"/>
    <x v="1"/>
    <x v="3"/>
    <x v="1"/>
    <x v="115"/>
    <x v="2"/>
    <x v="7"/>
    <x v="2"/>
    <x v="0"/>
    <x v="1"/>
  </r>
  <r>
    <x v="133"/>
    <x v="33"/>
    <s v="F"/>
    <s v="Single"/>
    <x v="1"/>
    <x v="1"/>
    <s v="Focus"/>
    <x v="129"/>
    <x v="39"/>
    <x v="2"/>
    <x v="3"/>
    <x v="0"/>
    <x v="116"/>
    <x v="1"/>
    <x v="7"/>
    <x v="1"/>
    <x v="10"/>
    <x v="0"/>
  </r>
  <r>
    <x v="134"/>
    <x v="36"/>
    <s v="M"/>
    <s v="Single"/>
    <x v="17"/>
    <x v="1"/>
    <s v="F-150"/>
    <x v="130"/>
    <x v="46"/>
    <x v="2"/>
    <x v="3"/>
    <x v="0"/>
    <x v="117"/>
    <x v="2"/>
    <x v="5"/>
    <x v="0"/>
    <x v="10"/>
    <x v="0"/>
  </r>
  <r>
    <x v="135"/>
    <x v="38"/>
    <s v="M"/>
    <s v="Divorced"/>
    <x v="5"/>
    <x v="4"/>
    <s v="Civic"/>
    <x v="131"/>
    <x v="14"/>
    <x v="1"/>
    <x v="3"/>
    <x v="0"/>
    <x v="118"/>
    <x v="1"/>
    <x v="5"/>
    <x v="3"/>
    <x v="3"/>
    <x v="0"/>
  </r>
  <r>
    <x v="136"/>
    <x v="26"/>
    <s v="F"/>
    <s v="Married"/>
    <x v="21"/>
    <x v="4"/>
    <s v="Civic"/>
    <x v="132"/>
    <x v="7"/>
    <x v="2"/>
    <x v="0"/>
    <x v="1"/>
    <x v="119"/>
    <x v="2"/>
    <x v="6"/>
    <x v="2"/>
    <x v="3"/>
    <x v="1"/>
  </r>
  <r>
    <x v="136"/>
    <x v="26"/>
    <s v="F"/>
    <s v="Married"/>
    <x v="21"/>
    <x v="4"/>
    <s v="Civic"/>
    <x v="132"/>
    <x v="7"/>
    <x v="2"/>
    <x v="0"/>
    <x v="1"/>
    <x v="119"/>
    <x v="2"/>
    <x v="6"/>
    <x v="2"/>
    <x v="3"/>
    <x v="1"/>
  </r>
  <r>
    <x v="137"/>
    <x v="14"/>
    <s v="F"/>
    <s v="Married"/>
    <x v="3"/>
    <x v="6"/>
    <s v=" 3 Series"/>
    <x v="133"/>
    <x v="48"/>
    <x v="2"/>
    <x v="3"/>
    <x v="0"/>
    <x v="120"/>
    <x v="2"/>
    <x v="4"/>
    <x v="3"/>
    <x v="2"/>
    <x v="0"/>
  </r>
  <r>
    <x v="138"/>
    <x v="14"/>
    <s v="F"/>
    <s v="Widowed"/>
    <x v="12"/>
    <x v="5"/>
    <s v="Altima"/>
    <x v="134"/>
    <x v="16"/>
    <x v="2"/>
    <x v="2"/>
    <x v="0"/>
    <x v="121"/>
    <x v="2"/>
    <x v="7"/>
    <x v="2"/>
    <x v="11"/>
    <x v="1"/>
  </r>
  <r>
    <x v="139"/>
    <x v="47"/>
    <s v="M"/>
    <s v="Married"/>
    <x v="3"/>
    <x v="2"/>
    <s v="Camry"/>
    <x v="135"/>
    <x v="11"/>
    <x v="0"/>
    <x v="1"/>
    <x v="0"/>
    <x v="122"/>
    <x v="0"/>
    <x v="0"/>
    <x v="2"/>
    <x v="5"/>
    <x v="1"/>
  </r>
  <r>
    <x v="140"/>
    <x v="37"/>
    <s v="M"/>
    <s v="Married"/>
    <x v="21"/>
    <x v="3"/>
    <s v="Malibu"/>
    <x v="136"/>
    <x v="6"/>
    <x v="2"/>
    <x v="3"/>
    <x v="0"/>
    <x v="93"/>
    <x v="2"/>
    <x v="1"/>
    <x v="2"/>
    <x v="13"/>
    <x v="1"/>
  </r>
  <r>
    <x v="141"/>
    <x v="47"/>
    <s v="F"/>
    <s v="Married"/>
    <x v="18"/>
    <x v="4"/>
    <s v="Civic"/>
    <x v="137"/>
    <x v="15"/>
    <x v="2"/>
    <x v="0"/>
    <x v="0"/>
    <x v="123"/>
    <x v="2"/>
    <x v="8"/>
    <x v="1"/>
    <x v="19"/>
    <x v="0"/>
  </r>
  <r>
    <x v="142"/>
    <x v="12"/>
    <s v="M"/>
    <s v="Married"/>
    <x v="17"/>
    <x v="4"/>
    <s v="Civic"/>
    <x v="138"/>
    <x v="40"/>
    <x v="2"/>
    <x v="1"/>
    <x v="0"/>
    <x v="124"/>
    <x v="0"/>
    <x v="6"/>
    <x v="2"/>
    <x v="17"/>
    <x v="1"/>
  </r>
  <r>
    <x v="143"/>
    <x v="5"/>
    <s v="F"/>
    <s v="Single"/>
    <x v="20"/>
    <x v="2"/>
    <s v="Corolla"/>
    <x v="139"/>
    <x v="14"/>
    <x v="2"/>
    <x v="1"/>
    <x v="0"/>
    <x v="108"/>
    <x v="2"/>
    <x v="7"/>
    <x v="1"/>
    <x v="9"/>
    <x v="0"/>
  </r>
  <r>
    <x v="144"/>
    <x v="18"/>
    <s v="F"/>
    <s v="Divorced"/>
    <x v="20"/>
    <x v="1"/>
    <s v="F-150"/>
    <x v="140"/>
    <x v="43"/>
    <x v="1"/>
    <x v="3"/>
    <x v="1"/>
    <x v="125"/>
    <x v="0"/>
    <x v="5"/>
    <x v="2"/>
    <x v="4"/>
    <x v="1"/>
  </r>
  <r>
    <x v="145"/>
    <x v="21"/>
    <s v="F"/>
    <s v="Single"/>
    <x v="24"/>
    <x v="3"/>
    <s v="EquiNx"/>
    <x v="141"/>
    <x v="24"/>
    <x v="2"/>
    <x v="1"/>
    <x v="1"/>
    <x v="87"/>
    <x v="0"/>
    <x v="5"/>
    <x v="3"/>
    <x v="19"/>
    <x v="0"/>
  </r>
  <r>
    <x v="146"/>
    <x v="42"/>
    <s v="M"/>
    <s v="Divorced"/>
    <x v="6"/>
    <x v="4"/>
    <s v="Accord"/>
    <x v="142"/>
    <x v="20"/>
    <x v="2"/>
    <x v="3"/>
    <x v="0"/>
    <x v="126"/>
    <x v="0"/>
    <x v="8"/>
    <x v="1"/>
    <x v="8"/>
    <x v="0"/>
  </r>
  <r>
    <x v="147"/>
    <x v="43"/>
    <s v="M"/>
    <s v="Single"/>
    <x v="8"/>
    <x v="1"/>
    <s v="F-150"/>
    <x v="143"/>
    <x v="33"/>
    <x v="1"/>
    <x v="3"/>
    <x v="1"/>
    <x v="127"/>
    <x v="0"/>
    <x v="2"/>
    <x v="1"/>
    <x v="15"/>
    <x v="0"/>
  </r>
  <r>
    <x v="148"/>
    <x v="43"/>
    <s v="M"/>
    <s v="Divorced"/>
    <x v="4"/>
    <x v="4"/>
    <s v="Civic"/>
    <x v="144"/>
    <x v="32"/>
    <x v="1"/>
    <x v="0"/>
    <x v="0"/>
    <x v="128"/>
    <x v="1"/>
    <x v="2"/>
    <x v="4"/>
    <x v="5"/>
    <x v="0"/>
  </r>
  <r>
    <x v="149"/>
    <x v="23"/>
    <s v="F"/>
    <s v="Divorced"/>
    <x v="13"/>
    <x v="1"/>
    <s v="Focus"/>
    <x v="145"/>
    <x v="46"/>
    <x v="2"/>
    <x v="1"/>
    <x v="1"/>
    <x v="129"/>
    <x v="0"/>
    <x v="1"/>
    <x v="4"/>
    <x v="4"/>
    <x v="0"/>
  </r>
  <r>
    <x v="150"/>
    <x v="20"/>
    <s v="F"/>
    <s v="Married"/>
    <x v="18"/>
    <x v="4"/>
    <s v="Civic"/>
    <x v="146"/>
    <x v="23"/>
    <x v="2"/>
    <x v="2"/>
    <x v="1"/>
    <x v="130"/>
    <x v="0"/>
    <x v="2"/>
    <x v="4"/>
    <x v="19"/>
    <x v="0"/>
  </r>
  <r>
    <x v="151"/>
    <x v="23"/>
    <s v="F"/>
    <s v="Married"/>
    <x v="23"/>
    <x v="6"/>
    <s v="X5"/>
    <x v="147"/>
    <x v="10"/>
    <x v="2"/>
    <x v="0"/>
    <x v="1"/>
    <x v="131"/>
    <x v="0"/>
    <x v="1"/>
    <x v="2"/>
    <x v="18"/>
    <x v="1"/>
  </r>
  <r>
    <x v="152"/>
    <x v="2"/>
    <s v="F"/>
    <s v="Widowed"/>
    <x v="9"/>
    <x v="6"/>
    <s v="X5"/>
    <x v="148"/>
    <x v="2"/>
    <x v="1"/>
    <x v="1"/>
    <x v="0"/>
    <x v="132"/>
    <x v="1"/>
    <x v="3"/>
    <x v="1"/>
    <x v="2"/>
    <x v="0"/>
  </r>
  <r>
    <x v="153"/>
    <x v="51"/>
    <s v="M"/>
    <s v="Single"/>
    <x v="16"/>
    <x v="6"/>
    <s v="5 Series"/>
    <x v="149"/>
    <x v="12"/>
    <x v="2"/>
    <x v="0"/>
    <x v="0"/>
    <x v="133"/>
    <x v="2"/>
    <x v="0"/>
    <x v="2"/>
    <x v="0"/>
    <x v="1"/>
  </r>
  <r>
    <x v="154"/>
    <x v="4"/>
    <s v="F"/>
    <s v="Widowed"/>
    <x v="4"/>
    <x v="2"/>
    <s v="RAV4"/>
    <x v="150"/>
    <x v="54"/>
    <x v="1"/>
    <x v="1"/>
    <x v="0"/>
    <x v="134"/>
    <x v="0"/>
    <x v="6"/>
    <x v="2"/>
    <x v="14"/>
    <x v="1"/>
  </r>
  <r>
    <x v="155"/>
    <x v="22"/>
    <s v="M"/>
    <s v="Married"/>
    <x v="5"/>
    <x v="6"/>
    <s v="5 Series"/>
    <x v="151"/>
    <x v="51"/>
    <x v="2"/>
    <x v="1"/>
    <x v="1"/>
    <x v="117"/>
    <x v="1"/>
    <x v="4"/>
    <x v="1"/>
    <x v="19"/>
    <x v="0"/>
  </r>
  <r>
    <x v="156"/>
    <x v="49"/>
    <s v="F"/>
    <s v="Divorced"/>
    <x v="3"/>
    <x v="2"/>
    <s v="Camry"/>
    <x v="152"/>
    <x v="54"/>
    <x v="0"/>
    <x v="2"/>
    <x v="1"/>
    <x v="113"/>
    <x v="0"/>
    <x v="6"/>
    <x v="0"/>
    <x v="3"/>
    <x v="0"/>
  </r>
  <r>
    <x v="157"/>
    <x v="52"/>
    <s v="F"/>
    <s v="Single"/>
    <x v="9"/>
    <x v="1"/>
    <s v="F-150"/>
    <x v="153"/>
    <x v="24"/>
    <x v="1"/>
    <x v="0"/>
    <x v="1"/>
    <x v="135"/>
    <x v="1"/>
    <x v="3"/>
    <x v="1"/>
    <x v="9"/>
    <x v="0"/>
  </r>
  <r>
    <x v="158"/>
    <x v="34"/>
    <s v="F"/>
    <s v="Divorced"/>
    <x v="2"/>
    <x v="4"/>
    <s v="CR-V"/>
    <x v="154"/>
    <x v="31"/>
    <x v="0"/>
    <x v="3"/>
    <x v="0"/>
    <x v="136"/>
    <x v="1"/>
    <x v="2"/>
    <x v="2"/>
    <x v="7"/>
    <x v="1"/>
  </r>
  <r>
    <x v="159"/>
    <x v="5"/>
    <s v="F"/>
    <s v="Widowed"/>
    <x v="21"/>
    <x v="1"/>
    <s v="F-150"/>
    <x v="155"/>
    <x v="5"/>
    <x v="2"/>
    <x v="3"/>
    <x v="0"/>
    <x v="137"/>
    <x v="2"/>
    <x v="8"/>
    <x v="5"/>
    <x v="13"/>
    <x v="0"/>
  </r>
  <r>
    <x v="160"/>
    <x v="50"/>
    <s v="F"/>
    <s v="Widowed"/>
    <x v="22"/>
    <x v="0"/>
    <s v="Grand Cherokee"/>
    <x v="156"/>
    <x v="55"/>
    <x v="1"/>
    <x v="3"/>
    <x v="0"/>
    <x v="138"/>
    <x v="2"/>
    <x v="3"/>
    <x v="5"/>
    <x v="7"/>
    <x v="0"/>
  </r>
  <r>
    <x v="161"/>
    <x v="40"/>
    <s v="M"/>
    <s v="Single"/>
    <x v="4"/>
    <x v="1"/>
    <s v="Focus"/>
    <x v="157"/>
    <x v="46"/>
    <x v="1"/>
    <x v="1"/>
    <x v="0"/>
    <x v="139"/>
    <x v="1"/>
    <x v="0"/>
    <x v="5"/>
    <x v="10"/>
    <x v="0"/>
  </r>
  <r>
    <x v="162"/>
    <x v="7"/>
    <s v="M"/>
    <s v="Divorced"/>
    <x v="7"/>
    <x v="2"/>
    <s v="Corolla"/>
    <x v="158"/>
    <x v="8"/>
    <x v="1"/>
    <x v="3"/>
    <x v="1"/>
    <x v="75"/>
    <x v="2"/>
    <x v="5"/>
    <x v="1"/>
    <x v="9"/>
    <x v="0"/>
  </r>
  <r>
    <x v="163"/>
    <x v="48"/>
    <s v="M"/>
    <s v="Widowed"/>
    <x v="9"/>
    <x v="4"/>
    <s v="Accord"/>
    <x v="159"/>
    <x v="34"/>
    <x v="2"/>
    <x v="1"/>
    <x v="0"/>
    <x v="140"/>
    <x v="1"/>
    <x v="7"/>
    <x v="5"/>
    <x v="5"/>
    <x v="0"/>
  </r>
  <r>
    <x v="164"/>
    <x v="53"/>
    <s v="M"/>
    <s v="Divorced"/>
    <x v="17"/>
    <x v="4"/>
    <s v="Accord"/>
    <x v="160"/>
    <x v="40"/>
    <x v="1"/>
    <x v="3"/>
    <x v="0"/>
    <x v="141"/>
    <x v="1"/>
    <x v="9"/>
    <x v="5"/>
    <x v="7"/>
    <x v="0"/>
  </r>
  <r>
    <x v="165"/>
    <x v="34"/>
    <s v="F"/>
    <s v="Widowed"/>
    <x v="1"/>
    <x v="5"/>
    <s v="Sentra"/>
    <x v="161"/>
    <x v="31"/>
    <x v="1"/>
    <x v="3"/>
    <x v="1"/>
    <x v="142"/>
    <x v="1"/>
    <x v="1"/>
    <x v="2"/>
    <x v="11"/>
    <x v="1"/>
  </r>
  <r>
    <x v="165"/>
    <x v="34"/>
    <s v="F"/>
    <s v="Widowed"/>
    <x v="1"/>
    <x v="5"/>
    <s v="Sentra"/>
    <x v="161"/>
    <x v="31"/>
    <x v="1"/>
    <x v="3"/>
    <x v="1"/>
    <x v="142"/>
    <x v="1"/>
    <x v="1"/>
    <x v="2"/>
    <x v="11"/>
    <x v="1"/>
  </r>
  <r>
    <x v="166"/>
    <x v="18"/>
    <s v="M"/>
    <s v="Widowed"/>
    <x v="3"/>
    <x v="4"/>
    <s v="Accord"/>
    <x v="162"/>
    <x v="41"/>
    <x v="2"/>
    <x v="3"/>
    <x v="0"/>
    <x v="143"/>
    <x v="2"/>
    <x v="5"/>
    <x v="2"/>
    <x v="3"/>
    <x v="1"/>
  </r>
  <r>
    <x v="167"/>
    <x v="7"/>
    <s v="F"/>
    <s v="Widowed"/>
    <x v="6"/>
    <x v="4"/>
    <s v="Accord"/>
    <x v="163"/>
    <x v="8"/>
    <x v="2"/>
    <x v="0"/>
    <x v="1"/>
    <x v="144"/>
    <x v="2"/>
    <x v="7"/>
    <x v="1"/>
    <x v="8"/>
    <x v="0"/>
  </r>
  <r>
    <x v="168"/>
    <x v="8"/>
    <s v="M"/>
    <s v="Widowed"/>
    <x v="2"/>
    <x v="2"/>
    <s v="Corolla"/>
    <x v="164"/>
    <x v="30"/>
    <x v="2"/>
    <x v="3"/>
    <x v="0"/>
    <x v="17"/>
    <x v="2"/>
    <x v="8"/>
    <x v="2"/>
    <x v="6"/>
    <x v="1"/>
  </r>
  <r>
    <x v="169"/>
    <x v="24"/>
    <s v="F"/>
    <s v="Single"/>
    <x v="14"/>
    <x v="4"/>
    <s v="Accord"/>
    <x v="165"/>
    <x v="42"/>
    <x v="1"/>
    <x v="2"/>
    <x v="1"/>
    <x v="109"/>
    <x v="1"/>
    <x v="6"/>
    <x v="2"/>
    <x v="10"/>
    <x v="1"/>
  </r>
  <r>
    <x v="170"/>
    <x v="29"/>
    <s v="M"/>
    <s v="Married"/>
    <x v="8"/>
    <x v="1"/>
    <s v="Focus"/>
    <x v="166"/>
    <x v="33"/>
    <x v="0"/>
    <x v="2"/>
    <x v="0"/>
    <x v="145"/>
    <x v="0"/>
    <x v="0"/>
    <x v="2"/>
    <x v="5"/>
    <x v="1"/>
  </r>
  <r>
    <x v="171"/>
    <x v="37"/>
    <s v="M"/>
    <s v="Single"/>
    <x v="18"/>
    <x v="4"/>
    <s v="Accord"/>
    <x v="167"/>
    <x v="26"/>
    <x v="2"/>
    <x v="1"/>
    <x v="0"/>
    <x v="133"/>
    <x v="1"/>
    <x v="0"/>
    <x v="2"/>
    <x v="17"/>
    <x v="1"/>
  </r>
  <r>
    <x v="172"/>
    <x v="54"/>
    <s v="M"/>
    <s v="Widowed"/>
    <x v="8"/>
    <x v="4"/>
    <s v="Accord"/>
    <x v="168"/>
    <x v="25"/>
    <x v="1"/>
    <x v="0"/>
    <x v="1"/>
    <x v="146"/>
    <x v="0"/>
    <x v="4"/>
    <x v="1"/>
    <x v="17"/>
    <x v="0"/>
  </r>
  <r>
    <x v="173"/>
    <x v="11"/>
    <s v="F"/>
    <s v="Widowed"/>
    <x v="4"/>
    <x v="4"/>
    <s v="Civic"/>
    <x v="169"/>
    <x v="14"/>
    <x v="2"/>
    <x v="1"/>
    <x v="0"/>
    <x v="139"/>
    <x v="1"/>
    <x v="1"/>
    <x v="1"/>
    <x v="17"/>
    <x v="0"/>
  </r>
  <r>
    <x v="174"/>
    <x v="17"/>
    <s v="M"/>
    <s v="Widowed"/>
    <x v="0"/>
    <x v="1"/>
    <s v="Focus"/>
    <x v="170"/>
    <x v="0"/>
    <x v="2"/>
    <x v="1"/>
    <x v="1"/>
    <x v="147"/>
    <x v="1"/>
    <x v="4"/>
    <x v="2"/>
    <x v="5"/>
    <x v="1"/>
  </r>
  <r>
    <x v="175"/>
    <x v="55"/>
    <s v="F"/>
    <s v="Single"/>
    <x v="19"/>
    <x v="4"/>
    <s v="Accord"/>
    <x v="171"/>
    <x v="9"/>
    <x v="1"/>
    <x v="1"/>
    <x v="0"/>
    <x v="118"/>
    <x v="2"/>
    <x v="3"/>
    <x v="5"/>
    <x v="4"/>
    <x v="0"/>
  </r>
  <r>
    <x v="176"/>
    <x v="5"/>
    <s v="M"/>
    <s v="Widowed"/>
    <x v="10"/>
    <x v="4"/>
    <s v="Accord"/>
    <x v="172"/>
    <x v="28"/>
    <x v="0"/>
    <x v="0"/>
    <x v="0"/>
    <x v="148"/>
    <x v="1"/>
    <x v="7"/>
    <x v="2"/>
    <x v="13"/>
    <x v="1"/>
  </r>
  <r>
    <x v="177"/>
    <x v="18"/>
    <s v="F"/>
    <s v="Single"/>
    <x v="24"/>
    <x v="2"/>
    <s v="Corolla"/>
    <x v="173"/>
    <x v="38"/>
    <x v="2"/>
    <x v="2"/>
    <x v="0"/>
    <x v="28"/>
    <x v="1"/>
    <x v="0"/>
    <x v="5"/>
    <x v="17"/>
    <x v="0"/>
  </r>
  <r>
    <x v="178"/>
    <x v="49"/>
    <s v="M"/>
    <s v="Single"/>
    <x v="3"/>
    <x v="2"/>
    <s v="Camry"/>
    <x v="174"/>
    <x v="34"/>
    <x v="1"/>
    <x v="1"/>
    <x v="0"/>
    <x v="149"/>
    <x v="0"/>
    <x v="0"/>
    <x v="3"/>
    <x v="3"/>
    <x v="0"/>
  </r>
  <r>
    <x v="179"/>
    <x v="19"/>
    <s v="M"/>
    <s v="Single"/>
    <x v="17"/>
    <x v="6"/>
    <s v="5 Series"/>
    <x v="175"/>
    <x v="24"/>
    <x v="0"/>
    <x v="3"/>
    <x v="0"/>
    <x v="34"/>
    <x v="1"/>
    <x v="6"/>
    <x v="1"/>
    <x v="5"/>
    <x v="0"/>
  </r>
  <r>
    <x v="180"/>
    <x v="55"/>
    <s v="M"/>
    <s v="Married"/>
    <x v="16"/>
    <x v="2"/>
    <s v="RAV4"/>
    <x v="176"/>
    <x v="56"/>
    <x v="1"/>
    <x v="2"/>
    <x v="0"/>
    <x v="150"/>
    <x v="1"/>
    <x v="7"/>
    <x v="0"/>
    <x v="9"/>
    <x v="0"/>
  </r>
  <r>
    <x v="181"/>
    <x v="3"/>
    <s v="F"/>
    <s v="Single"/>
    <x v="11"/>
    <x v="3"/>
    <s v="Silverado"/>
    <x v="177"/>
    <x v="43"/>
    <x v="0"/>
    <x v="1"/>
    <x v="0"/>
    <x v="151"/>
    <x v="2"/>
    <x v="1"/>
    <x v="1"/>
    <x v="11"/>
    <x v="0"/>
  </r>
  <r>
    <x v="182"/>
    <x v="49"/>
    <s v="M"/>
    <s v="Divorced"/>
    <x v="15"/>
    <x v="3"/>
    <s v="Malibu"/>
    <x v="178"/>
    <x v="34"/>
    <x v="0"/>
    <x v="1"/>
    <x v="1"/>
    <x v="152"/>
    <x v="2"/>
    <x v="7"/>
    <x v="4"/>
    <x v="17"/>
    <x v="0"/>
  </r>
  <r>
    <x v="183"/>
    <x v="49"/>
    <s v="M"/>
    <s v="Single"/>
    <x v="21"/>
    <x v="2"/>
    <s v="Corolla"/>
    <x v="179"/>
    <x v="15"/>
    <x v="1"/>
    <x v="2"/>
    <x v="1"/>
    <x v="34"/>
    <x v="1"/>
    <x v="2"/>
    <x v="3"/>
    <x v="8"/>
    <x v="0"/>
  </r>
  <r>
    <x v="184"/>
    <x v="18"/>
    <s v="M"/>
    <s v="Divorced"/>
    <x v="7"/>
    <x v="0"/>
    <s v="Wrangler"/>
    <x v="180"/>
    <x v="22"/>
    <x v="1"/>
    <x v="0"/>
    <x v="0"/>
    <x v="153"/>
    <x v="0"/>
    <x v="0"/>
    <x v="2"/>
    <x v="10"/>
    <x v="1"/>
  </r>
  <r>
    <x v="185"/>
    <x v="42"/>
    <s v="M"/>
    <s v="Widowed"/>
    <x v="8"/>
    <x v="2"/>
    <s v="Corolla"/>
    <x v="181"/>
    <x v="18"/>
    <x v="0"/>
    <x v="3"/>
    <x v="0"/>
    <x v="154"/>
    <x v="0"/>
    <x v="1"/>
    <x v="0"/>
    <x v="2"/>
    <x v="0"/>
  </r>
  <r>
    <x v="186"/>
    <x v="40"/>
    <s v="F"/>
    <s v="Married"/>
    <x v="12"/>
    <x v="3"/>
    <s v="EquiNx"/>
    <x v="182"/>
    <x v="10"/>
    <x v="2"/>
    <x v="0"/>
    <x v="0"/>
    <x v="155"/>
    <x v="0"/>
    <x v="2"/>
    <x v="3"/>
    <x v="2"/>
    <x v="0"/>
  </r>
  <r>
    <x v="187"/>
    <x v="2"/>
    <s v="M"/>
    <s v="Single"/>
    <x v="1"/>
    <x v="1"/>
    <s v="Focus"/>
    <x v="183"/>
    <x v="55"/>
    <x v="1"/>
    <x v="0"/>
    <x v="0"/>
    <x v="156"/>
    <x v="2"/>
    <x v="4"/>
    <x v="2"/>
    <x v="12"/>
    <x v="1"/>
  </r>
  <r>
    <x v="188"/>
    <x v="25"/>
    <s v="M"/>
    <s v="Widowed"/>
    <x v="24"/>
    <x v="4"/>
    <s v="Civic"/>
    <x v="184"/>
    <x v="14"/>
    <x v="0"/>
    <x v="3"/>
    <x v="0"/>
    <x v="157"/>
    <x v="0"/>
    <x v="3"/>
    <x v="2"/>
    <x v="9"/>
    <x v="1"/>
  </r>
  <r>
    <x v="189"/>
    <x v="2"/>
    <s v="F"/>
    <s v="Divorced"/>
    <x v="10"/>
    <x v="1"/>
    <s v="F-150"/>
    <x v="185"/>
    <x v="29"/>
    <x v="0"/>
    <x v="1"/>
    <x v="0"/>
    <x v="158"/>
    <x v="2"/>
    <x v="9"/>
    <x v="0"/>
    <x v="20"/>
    <x v="0"/>
  </r>
  <r>
    <x v="190"/>
    <x v="48"/>
    <s v="F"/>
    <s v="Married"/>
    <x v="18"/>
    <x v="3"/>
    <s v="Malibu"/>
    <x v="186"/>
    <x v="4"/>
    <x v="1"/>
    <x v="3"/>
    <x v="1"/>
    <x v="159"/>
    <x v="0"/>
    <x v="0"/>
    <x v="2"/>
    <x v="14"/>
    <x v="1"/>
  </r>
  <r>
    <x v="191"/>
    <x v="29"/>
    <s v="M"/>
    <s v="Single"/>
    <x v="12"/>
    <x v="3"/>
    <s v="EquiNx"/>
    <x v="187"/>
    <x v="33"/>
    <x v="2"/>
    <x v="3"/>
    <x v="1"/>
    <x v="160"/>
    <x v="2"/>
    <x v="5"/>
    <x v="2"/>
    <x v="8"/>
    <x v="1"/>
  </r>
  <r>
    <x v="192"/>
    <x v="0"/>
    <s v="M"/>
    <s v="Single"/>
    <x v="0"/>
    <x v="4"/>
    <s v="Civic"/>
    <x v="188"/>
    <x v="21"/>
    <x v="2"/>
    <x v="2"/>
    <x v="0"/>
    <x v="27"/>
    <x v="2"/>
    <x v="8"/>
    <x v="1"/>
    <x v="1"/>
    <x v="0"/>
  </r>
  <r>
    <x v="193"/>
    <x v="31"/>
    <s v="M"/>
    <s v="Widowed"/>
    <x v="14"/>
    <x v="5"/>
    <s v="Rogue"/>
    <x v="189"/>
    <x v="39"/>
    <x v="1"/>
    <x v="0"/>
    <x v="0"/>
    <x v="161"/>
    <x v="0"/>
    <x v="3"/>
    <x v="2"/>
    <x v="13"/>
    <x v="1"/>
  </r>
  <r>
    <x v="194"/>
    <x v="38"/>
    <s v="M"/>
    <s v="Widowed"/>
    <x v="8"/>
    <x v="6"/>
    <s v="5 Series"/>
    <x v="190"/>
    <x v="14"/>
    <x v="2"/>
    <x v="1"/>
    <x v="1"/>
    <x v="59"/>
    <x v="1"/>
    <x v="6"/>
    <x v="2"/>
    <x v="19"/>
    <x v="1"/>
  </r>
  <r>
    <x v="195"/>
    <x v="32"/>
    <s v="F"/>
    <s v="Single"/>
    <x v="12"/>
    <x v="2"/>
    <s v="Camry"/>
    <x v="191"/>
    <x v="29"/>
    <x v="1"/>
    <x v="3"/>
    <x v="0"/>
    <x v="162"/>
    <x v="0"/>
    <x v="5"/>
    <x v="5"/>
    <x v="19"/>
    <x v="0"/>
  </r>
  <r>
    <x v="196"/>
    <x v="18"/>
    <s v="M"/>
    <s v="Widowed"/>
    <x v="18"/>
    <x v="1"/>
    <s v="Focus"/>
    <x v="192"/>
    <x v="43"/>
    <x v="1"/>
    <x v="1"/>
    <x v="0"/>
    <x v="33"/>
    <x v="0"/>
    <x v="2"/>
    <x v="2"/>
    <x v="11"/>
    <x v="1"/>
  </r>
  <r>
    <x v="197"/>
    <x v="47"/>
    <s v="F"/>
    <s v="Divorced"/>
    <x v="21"/>
    <x v="1"/>
    <s v="Focus"/>
    <x v="193"/>
    <x v="44"/>
    <x v="2"/>
    <x v="1"/>
    <x v="1"/>
    <x v="142"/>
    <x v="1"/>
    <x v="4"/>
    <x v="0"/>
    <x v="12"/>
    <x v="0"/>
  </r>
  <r>
    <x v="198"/>
    <x v="31"/>
    <s v="F"/>
    <s v="Divorced"/>
    <x v="3"/>
    <x v="5"/>
    <s v="Altima"/>
    <x v="194"/>
    <x v="3"/>
    <x v="1"/>
    <x v="1"/>
    <x v="1"/>
    <x v="163"/>
    <x v="0"/>
    <x v="5"/>
    <x v="4"/>
    <x v="0"/>
    <x v="0"/>
  </r>
  <r>
    <x v="199"/>
    <x v="36"/>
    <s v="M"/>
    <s v="Widowed"/>
    <x v="18"/>
    <x v="1"/>
    <s v="F-150"/>
    <x v="195"/>
    <x v="22"/>
    <x v="1"/>
    <x v="3"/>
    <x v="1"/>
    <x v="122"/>
    <x v="0"/>
    <x v="7"/>
    <x v="2"/>
    <x v="1"/>
    <x v="1"/>
  </r>
  <r>
    <x v="199"/>
    <x v="36"/>
    <s v="M"/>
    <s v="Widowed"/>
    <x v="18"/>
    <x v="1"/>
    <s v="F-150"/>
    <x v="195"/>
    <x v="22"/>
    <x v="1"/>
    <x v="3"/>
    <x v="1"/>
    <x v="122"/>
    <x v="0"/>
    <x v="7"/>
    <x v="2"/>
    <x v="1"/>
    <x v="1"/>
  </r>
  <r>
    <x v="200"/>
    <x v="28"/>
    <s v="F"/>
    <s v="Widowed"/>
    <x v="6"/>
    <x v="1"/>
    <s v="Focus"/>
    <x v="196"/>
    <x v="32"/>
    <x v="1"/>
    <x v="2"/>
    <x v="0"/>
    <x v="164"/>
    <x v="0"/>
    <x v="4"/>
    <x v="2"/>
    <x v="4"/>
    <x v="1"/>
  </r>
  <r>
    <x v="201"/>
    <x v="8"/>
    <s v="M"/>
    <s v="Married"/>
    <x v="13"/>
    <x v="1"/>
    <s v="Focus"/>
    <x v="197"/>
    <x v="42"/>
    <x v="1"/>
    <x v="3"/>
    <x v="1"/>
    <x v="45"/>
    <x v="0"/>
    <x v="2"/>
    <x v="2"/>
    <x v="9"/>
    <x v="1"/>
  </r>
  <r>
    <x v="202"/>
    <x v="56"/>
    <s v="M"/>
    <s v="Single"/>
    <x v="9"/>
    <x v="5"/>
    <s v="Sentra"/>
    <x v="198"/>
    <x v="21"/>
    <x v="1"/>
    <x v="2"/>
    <x v="1"/>
    <x v="165"/>
    <x v="1"/>
    <x v="7"/>
    <x v="3"/>
    <x v="8"/>
    <x v="0"/>
  </r>
  <r>
    <x v="203"/>
    <x v="42"/>
    <s v="M"/>
    <s v="Single"/>
    <x v="9"/>
    <x v="1"/>
    <s v="Escape"/>
    <x v="199"/>
    <x v="16"/>
    <x v="1"/>
    <x v="3"/>
    <x v="0"/>
    <x v="166"/>
    <x v="2"/>
    <x v="2"/>
    <x v="4"/>
    <x v="11"/>
    <x v="0"/>
  </r>
  <r>
    <x v="204"/>
    <x v="19"/>
    <s v="M"/>
    <s v="Divorced"/>
    <x v="17"/>
    <x v="4"/>
    <s v="Civic"/>
    <x v="200"/>
    <x v="15"/>
    <x v="2"/>
    <x v="0"/>
    <x v="0"/>
    <x v="167"/>
    <x v="0"/>
    <x v="0"/>
    <x v="2"/>
    <x v="18"/>
    <x v="1"/>
  </r>
  <r>
    <x v="205"/>
    <x v="17"/>
    <s v="M"/>
    <s v="Single"/>
    <x v="21"/>
    <x v="4"/>
    <s v="Civic"/>
    <x v="201"/>
    <x v="0"/>
    <x v="1"/>
    <x v="0"/>
    <x v="0"/>
    <x v="168"/>
    <x v="0"/>
    <x v="9"/>
    <x v="2"/>
    <x v="20"/>
    <x v="1"/>
  </r>
  <r>
    <x v="206"/>
    <x v="14"/>
    <s v="F"/>
    <s v="Widowed"/>
    <x v="11"/>
    <x v="2"/>
    <s v="Corolla"/>
    <x v="202"/>
    <x v="17"/>
    <x v="2"/>
    <x v="1"/>
    <x v="0"/>
    <x v="169"/>
    <x v="2"/>
    <x v="8"/>
    <x v="3"/>
    <x v="0"/>
    <x v="0"/>
  </r>
  <r>
    <x v="207"/>
    <x v="23"/>
    <s v="F"/>
    <s v="Widowed"/>
    <x v="9"/>
    <x v="1"/>
    <s v="F-150"/>
    <x v="203"/>
    <x v="10"/>
    <x v="1"/>
    <x v="3"/>
    <x v="0"/>
    <x v="170"/>
    <x v="2"/>
    <x v="4"/>
    <x v="1"/>
    <x v="5"/>
    <x v="0"/>
  </r>
  <r>
    <x v="208"/>
    <x v="49"/>
    <s v="F"/>
    <s v="Widowed"/>
    <x v="12"/>
    <x v="2"/>
    <s v="Corolla"/>
    <x v="204"/>
    <x v="54"/>
    <x v="2"/>
    <x v="1"/>
    <x v="0"/>
    <x v="167"/>
    <x v="2"/>
    <x v="5"/>
    <x v="2"/>
    <x v="11"/>
    <x v="1"/>
  </r>
  <r>
    <x v="209"/>
    <x v="35"/>
    <s v="F"/>
    <s v="Divorced"/>
    <x v="23"/>
    <x v="6"/>
    <s v="5 Series"/>
    <x v="205"/>
    <x v="1"/>
    <x v="2"/>
    <x v="3"/>
    <x v="1"/>
    <x v="171"/>
    <x v="0"/>
    <x v="9"/>
    <x v="4"/>
    <x v="12"/>
    <x v="0"/>
  </r>
  <r>
    <x v="210"/>
    <x v="28"/>
    <s v="M"/>
    <s v="Divorced"/>
    <x v="12"/>
    <x v="5"/>
    <s v="Rogue"/>
    <x v="206"/>
    <x v="32"/>
    <x v="1"/>
    <x v="1"/>
    <x v="0"/>
    <x v="172"/>
    <x v="2"/>
    <x v="2"/>
    <x v="0"/>
    <x v="3"/>
    <x v="0"/>
  </r>
  <r>
    <x v="211"/>
    <x v="16"/>
    <s v="F"/>
    <s v="Single"/>
    <x v="21"/>
    <x v="4"/>
    <s v="Accord"/>
    <x v="207"/>
    <x v="35"/>
    <x v="1"/>
    <x v="1"/>
    <x v="0"/>
    <x v="173"/>
    <x v="2"/>
    <x v="1"/>
    <x v="2"/>
    <x v="6"/>
    <x v="1"/>
  </r>
  <r>
    <x v="212"/>
    <x v="52"/>
    <s v="F"/>
    <s v="Married"/>
    <x v="3"/>
    <x v="4"/>
    <s v="Accord"/>
    <x v="208"/>
    <x v="28"/>
    <x v="1"/>
    <x v="3"/>
    <x v="0"/>
    <x v="83"/>
    <x v="0"/>
    <x v="2"/>
    <x v="1"/>
    <x v="0"/>
    <x v="0"/>
  </r>
  <r>
    <x v="213"/>
    <x v="42"/>
    <s v="F"/>
    <s v="Divorced"/>
    <x v="22"/>
    <x v="1"/>
    <s v="Focus"/>
    <x v="209"/>
    <x v="16"/>
    <x v="1"/>
    <x v="3"/>
    <x v="1"/>
    <x v="52"/>
    <x v="0"/>
    <x v="8"/>
    <x v="3"/>
    <x v="7"/>
    <x v="0"/>
  </r>
  <r>
    <x v="214"/>
    <x v="15"/>
    <s v="F"/>
    <s v="Divorced"/>
    <x v="20"/>
    <x v="0"/>
    <s v=" Wrangler"/>
    <x v="210"/>
    <x v="25"/>
    <x v="0"/>
    <x v="0"/>
    <x v="1"/>
    <x v="26"/>
    <x v="0"/>
    <x v="9"/>
    <x v="5"/>
    <x v="9"/>
    <x v="0"/>
  </r>
  <r>
    <x v="215"/>
    <x v="20"/>
    <s v="M"/>
    <s v="Divorced"/>
    <x v="5"/>
    <x v="4"/>
    <s v="Civic"/>
    <x v="211"/>
    <x v="8"/>
    <x v="1"/>
    <x v="0"/>
    <x v="0"/>
    <x v="174"/>
    <x v="1"/>
    <x v="1"/>
    <x v="2"/>
    <x v="2"/>
    <x v="1"/>
  </r>
  <r>
    <x v="216"/>
    <x v="16"/>
    <s v="F"/>
    <s v="Divorced"/>
    <x v="8"/>
    <x v="2"/>
    <s v="Corolla"/>
    <x v="212"/>
    <x v="35"/>
    <x v="0"/>
    <x v="1"/>
    <x v="1"/>
    <x v="175"/>
    <x v="0"/>
    <x v="9"/>
    <x v="2"/>
    <x v="11"/>
    <x v="1"/>
  </r>
  <r>
    <x v="217"/>
    <x v="10"/>
    <s v="F"/>
    <s v="Widowed"/>
    <x v="9"/>
    <x v="3"/>
    <s v="Malibu"/>
    <x v="213"/>
    <x v="40"/>
    <x v="2"/>
    <x v="3"/>
    <x v="0"/>
    <x v="176"/>
    <x v="2"/>
    <x v="2"/>
    <x v="2"/>
    <x v="17"/>
    <x v="1"/>
  </r>
  <r>
    <x v="218"/>
    <x v="47"/>
    <s v="M"/>
    <s v="Divorced"/>
    <x v="4"/>
    <x v="1"/>
    <s v="Focus"/>
    <x v="214"/>
    <x v="0"/>
    <x v="1"/>
    <x v="1"/>
    <x v="1"/>
    <x v="177"/>
    <x v="2"/>
    <x v="6"/>
    <x v="2"/>
    <x v="7"/>
    <x v="1"/>
  </r>
  <r>
    <x v="219"/>
    <x v="5"/>
    <s v="F"/>
    <s v="Widowed"/>
    <x v="6"/>
    <x v="2"/>
    <s v="Corolla"/>
    <x v="215"/>
    <x v="14"/>
    <x v="2"/>
    <x v="3"/>
    <x v="0"/>
    <x v="178"/>
    <x v="0"/>
    <x v="1"/>
    <x v="1"/>
    <x v="20"/>
    <x v="0"/>
  </r>
  <r>
    <x v="220"/>
    <x v="37"/>
    <s v="F"/>
    <s v="Divorced"/>
    <x v="19"/>
    <x v="1"/>
    <s v="Focus"/>
    <x v="93"/>
    <x v="40"/>
    <x v="1"/>
    <x v="3"/>
    <x v="0"/>
    <x v="39"/>
    <x v="0"/>
    <x v="9"/>
    <x v="4"/>
    <x v="0"/>
    <x v="0"/>
  </r>
  <r>
    <x v="221"/>
    <x v="6"/>
    <s v="M"/>
    <s v="Divorced"/>
    <x v="19"/>
    <x v="0"/>
    <s v="Grand Cherokee"/>
    <x v="216"/>
    <x v="13"/>
    <x v="1"/>
    <x v="1"/>
    <x v="0"/>
    <x v="179"/>
    <x v="0"/>
    <x v="0"/>
    <x v="2"/>
    <x v="5"/>
    <x v="1"/>
  </r>
  <r>
    <x v="222"/>
    <x v="35"/>
    <s v="F"/>
    <s v="Widowed"/>
    <x v="23"/>
    <x v="1"/>
    <s v="F-150"/>
    <x v="217"/>
    <x v="1"/>
    <x v="2"/>
    <x v="1"/>
    <x v="1"/>
    <x v="180"/>
    <x v="1"/>
    <x v="3"/>
    <x v="3"/>
    <x v="1"/>
    <x v="0"/>
  </r>
  <r>
    <x v="223"/>
    <x v="28"/>
    <s v="F"/>
    <s v="Single"/>
    <x v="2"/>
    <x v="6"/>
    <s v="5 Series"/>
    <x v="218"/>
    <x v="19"/>
    <x v="2"/>
    <x v="1"/>
    <x v="1"/>
    <x v="181"/>
    <x v="0"/>
    <x v="8"/>
    <x v="2"/>
    <x v="14"/>
    <x v="1"/>
  </r>
  <r>
    <x v="224"/>
    <x v="52"/>
    <s v="F"/>
    <s v="Married"/>
    <x v="14"/>
    <x v="5"/>
    <s v="Altima"/>
    <x v="219"/>
    <x v="56"/>
    <x v="1"/>
    <x v="1"/>
    <x v="0"/>
    <x v="182"/>
    <x v="0"/>
    <x v="8"/>
    <x v="1"/>
    <x v="18"/>
    <x v="0"/>
  </r>
  <r>
    <x v="225"/>
    <x v="34"/>
    <s v="F"/>
    <s v="Divorced"/>
    <x v="1"/>
    <x v="2"/>
    <s v="Camry"/>
    <x v="220"/>
    <x v="31"/>
    <x v="2"/>
    <x v="2"/>
    <x v="1"/>
    <x v="183"/>
    <x v="2"/>
    <x v="0"/>
    <x v="2"/>
    <x v="12"/>
    <x v="1"/>
  </r>
  <r>
    <x v="226"/>
    <x v="11"/>
    <s v="F"/>
    <s v="Widowed"/>
    <x v="14"/>
    <x v="3"/>
    <s v="Silverado"/>
    <x v="221"/>
    <x v="4"/>
    <x v="2"/>
    <x v="2"/>
    <x v="0"/>
    <x v="184"/>
    <x v="2"/>
    <x v="6"/>
    <x v="0"/>
    <x v="3"/>
    <x v="0"/>
  </r>
  <r>
    <x v="227"/>
    <x v="13"/>
    <s v="M"/>
    <s v="Widowed"/>
    <x v="17"/>
    <x v="3"/>
    <s v="EquiNx"/>
    <x v="222"/>
    <x v="50"/>
    <x v="2"/>
    <x v="3"/>
    <x v="0"/>
    <x v="185"/>
    <x v="1"/>
    <x v="8"/>
    <x v="2"/>
    <x v="12"/>
    <x v="1"/>
  </r>
  <r>
    <x v="228"/>
    <x v="5"/>
    <s v="F"/>
    <s v="Widowed"/>
    <x v="12"/>
    <x v="3"/>
    <s v="Malibu"/>
    <x v="223"/>
    <x v="9"/>
    <x v="0"/>
    <x v="3"/>
    <x v="1"/>
    <x v="186"/>
    <x v="0"/>
    <x v="1"/>
    <x v="0"/>
    <x v="5"/>
    <x v="0"/>
  </r>
  <r>
    <x v="229"/>
    <x v="3"/>
    <s v="F"/>
    <s v="Single"/>
    <x v="20"/>
    <x v="4"/>
    <s v="Accord"/>
    <x v="224"/>
    <x v="39"/>
    <x v="1"/>
    <x v="0"/>
    <x v="1"/>
    <x v="187"/>
    <x v="0"/>
    <x v="0"/>
    <x v="1"/>
    <x v="4"/>
    <x v="0"/>
  </r>
  <r>
    <x v="230"/>
    <x v="32"/>
    <s v="F"/>
    <s v="Divorced"/>
    <x v="12"/>
    <x v="6"/>
    <s v="3 Series"/>
    <x v="225"/>
    <x v="12"/>
    <x v="0"/>
    <x v="2"/>
    <x v="1"/>
    <x v="141"/>
    <x v="2"/>
    <x v="4"/>
    <x v="2"/>
    <x v="13"/>
    <x v="1"/>
  </r>
  <r>
    <x v="231"/>
    <x v="57"/>
    <s v="M"/>
    <s v="Single"/>
    <x v="20"/>
    <x v="2"/>
    <s v="Corolla"/>
    <x v="226"/>
    <x v="32"/>
    <x v="0"/>
    <x v="1"/>
    <x v="1"/>
    <x v="188"/>
    <x v="1"/>
    <x v="5"/>
    <x v="5"/>
    <x v="10"/>
    <x v="0"/>
  </r>
  <r>
    <x v="232"/>
    <x v="50"/>
    <s v="M"/>
    <s v="Married"/>
    <x v="24"/>
    <x v="5"/>
    <s v="Rogue"/>
    <x v="227"/>
    <x v="2"/>
    <x v="2"/>
    <x v="2"/>
    <x v="0"/>
    <x v="189"/>
    <x v="1"/>
    <x v="3"/>
    <x v="0"/>
    <x v="2"/>
    <x v="0"/>
  </r>
  <r>
    <x v="233"/>
    <x v="39"/>
    <s v="M"/>
    <s v="Widowed"/>
    <x v="12"/>
    <x v="4"/>
    <s v="CR-V"/>
    <x v="228"/>
    <x v="22"/>
    <x v="0"/>
    <x v="1"/>
    <x v="0"/>
    <x v="190"/>
    <x v="2"/>
    <x v="8"/>
    <x v="2"/>
    <x v="0"/>
    <x v="1"/>
  </r>
  <r>
    <x v="234"/>
    <x v="53"/>
    <s v="M"/>
    <s v="Married"/>
    <x v="5"/>
    <x v="2"/>
    <s v="Camry"/>
    <x v="229"/>
    <x v="40"/>
    <x v="1"/>
    <x v="0"/>
    <x v="1"/>
    <x v="182"/>
    <x v="1"/>
    <x v="1"/>
    <x v="3"/>
    <x v="8"/>
    <x v="0"/>
  </r>
  <r>
    <x v="235"/>
    <x v="50"/>
    <s v="M"/>
    <s v="Widowed"/>
    <x v="22"/>
    <x v="1"/>
    <s v="Focus"/>
    <x v="230"/>
    <x v="52"/>
    <x v="1"/>
    <x v="3"/>
    <x v="1"/>
    <x v="191"/>
    <x v="0"/>
    <x v="5"/>
    <x v="1"/>
    <x v="1"/>
    <x v="0"/>
  </r>
  <r>
    <x v="236"/>
    <x v="26"/>
    <s v="F"/>
    <s v="Widowed"/>
    <x v="19"/>
    <x v="1"/>
    <s v="F-150"/>
    <x v="231"/>
    <x v="7"/>
    <x v="1"/>
    <x v="3"/>
    <x v="1"/>
    <x v="192"/>
    <x v="1"/>
    <x v="9"/>
    <x v="1"/>
    <x v="7"/>
    <x v="0"/>
  </r>
  <r>
    <x v="237"/>
    <x v="32"/>
    <s v="M"/>
    <s v="Married"/>
    <x v="19"/>
    <x v="1"/>
    <s v="F-150"/>
    <x v="232"/>
    <x v="12"/>
    <x v="1"/>
    <x v="0"/>
    <x v="1"/>
    <x v="193"/>
    <x v="1"/>
    <x v="1"/>
    <x v="0"/>
    <x v="9"/>
    <x v="0"/>
  </r>
  <r>
    <x v="238"/>
    <x v="39"/>
    <s v="F"/>
    <s v="Single"/>
    <x v="23"/>
    <x v="2"/>
    <s v="RAV4"/>
    <x v="233"/>
    <x v="3"/>
    <x v="2"/>
    <x v="1"/>
    <x v="1"/>
    <x v="194"/>
    <x v="2"/>
    <x v="6"/>
    <x v="5"/>
    <x v="14"/>
    <x v="0"/>
  </r>
  <r>
    <x v="239"/>
    <x v="33"/>
    <s v="F"/>
    <s v="Single"/>
    <x v="11"/>
    <x v="4"/>
    <s v="Civic"/>
    <x v="234"/>
    <x v="43"/>
    <x v="2"/>
    <x v="3"/>
    <x v="0"/>
    <x v="195"/>
    <x v="2"/>
    <x v="3"/>
    <x v="2"/>
    <x v="15"/>
    <x v="1"/>
  </r>
  <r>
    <x v="240"/>
    <x v="36"/>
    <s v="F"/>
    <s v="Married"/>
    <x v="1"/>
    <x v="2"/>
    <s v="Camry"/>
    <x v="235"/>
    <x v="38"/>
    <x v="1"/>
    <x v="1"/>
    <x v="0"/>
    <x v="196"/>
    <x v="1"/>
    <x v="6"/>
    <x v="2"/>
    <x v="12"/>
    <x v="1"/>
  </r>
  <r>
    <x v="241"/>
    <x v="6"/>
    <s v="F"/>
    <s v="Widowed"/>
    <x v="2"/>
    <x v="3"/>
    <s v="Malibu"/>
    <x v="236"/>
    <x v="13"/>
    <x v="1"/>
    <x v="2"/>
    <x v="0"/>
    <x v="118"/>
    <x v="0"/>
    <x v="1"/>
    <x v="1"/>
    <x v="0"/>
    <x v="0"/>
  </r>
  <r>
    <x v="242"/>
    <x v="50"/>
    <s v="M"/>
    <s v="Married"/>
    <x v="20"/>
    <x v="1"/>
    <s v="Focus"/>
    <x v="237"/>
    <x v="55"/>
    <x v="2"/>
    <x v="2"/>
    <x v="0"/>
    <x v="96"/>
    <x v="0"/>
    <x v="6"/>
    <x v="2"/>
    <x v="5"/>
    <x v="1"/>
  </r>
  <r>
    <x v="243"/>
    <x v="39"/>
    <s v="F"/>
    <s v="Divorced"/>
    <x v="10"/>
    <x v="4"/>
    <s v="Accord"/>
    <x v="238"/>
    <x v="43"/>
    <x v="1"/>
    <x v="1"/>
    <x v="1"/>
    <x v="197"/>
    <x v="0"/>
    <x v="2"/>
    <x v="2"/>
    <x v="20"/>
    <x v="1"/>
  </r>
  <r>
    <x v="244"/>
    <x v="2"/>
    <s v="M"/>
    <s v="Married"/>
    <x v="14"/>
    <x v="1"/>
    <s v="F-150"/>
    <x v="239"/>
    <x v="29"/>
    <x v="2"/>
    <x v="2"/>
    <x v="0"/>
    <x v="198"/>
    <x v="2"/>
    <x v="6"/>
    <x v="2"/>
    <x v="1"/>
    <x v="1"/>
  </r>
  <r>
    <x v="245"/>
    <x v="24"/>
    <s v="M"/>
    <s v="Widowed"/>
    <x v="8"/>
    <x v="3"/>
    <s v="Silverado"/>
    <x v="240"/>
    <x v="2"/>
    <x v="2"/>
    <x v="0"/>
    <x v="0"/>
    <x v="120"/>
    <x v="2"/>
    <x v="9"/>
    <x v="0"/>
    <x v="4"/>
    <x v="0"/>
  </r>
  <r>
    <x v="246"/>
    <x v="8"/>
    <s v="M"/>
    <s v="Divorced"/>
    <x v="5"/>
    <x v="0"/>
    <s v="Wrangler"/>
    <x v="241"/>
    <x v="2"/>
    <x v="2"/>
    <x v="0"/>
    <x v="0"/>
    <x v="199"/>
    <x v="1"/>
    <x v="6"/>
    <x v="2"/>
    <x v="15"/>
    <x v="1"/>
  </r>
  <r>
    <x v="247"/>
    <x v="57"/>
    <s v="F"/>
    <s v="Married"/>
    <x v="21"/>
    <x v="1"/>
    <s v="Escape"/>
    <x v="242"/>
    <x v="32"/>
    <x v="0"/>
    <x v="3"/>
    <x v="1"/>
    <x v="177"/>
    <x v="0"/>
    <x v="5"/>
    <x v="3"/>
    <x v="20"/>
    <x v="0"/>
  </r>
  <r>
    <x v="248"/>
    <x v="24"/>
    <s v="F"/>
    <s v="Divorced"/>
    <x v="20"/>
    <x v="2"/>
    <s v="Camry"/>
    <x v="243"/>
    <x v="29"/>
    <x v="2"/>
    <x v="0"/>
    <x v="1"/>
    <x v="53"/>
    <x v="0"/>
    <x v="5"/>
    <x v="2"/>
    <x v="10"/>
    <x v="1"/>
  </r>
  <r>
    <x v="249"/>
    <x v="14"/>
    <s v="M"/>
    <s v="Married"/>
    <x v="8"/>
    <x v="1"/>
    <s v="Focus"/>
    <x v="244"/>
    <x v="17"/>
    <x v="1"/>
    <x v="1"/>
    <x v="0"/>
    <x v="200"/>
    <x v="1"/>
    <x v="1"/>
    <x v="5"/>
    <x v="10"/>
    <x v="0"/>
  </r>
  <r>
    <x v="250"/>
    <x v="56"/>
    <s v="M"/>
    <s v="Single"/>
    <x v="11"/>
    <x v="4"/>
    <s v="Accord"/>
    <x v="245"/>
    <x v="21"/>
    <x v="2"/>
    <x v="3"/>
    <x v="0"/>
    <x v="186"/>
    <x v="1"/>
    <x v="3"/>
    <x v="2"/>
    <x v="11"/>
    <x v="1"/>
  </r>
  <r>
    <x v="251"/>
    <x v="45"/>
    <s v="F"/>
    <s v="Divorced"/>
    <x v="2"/>
    <x v="5"/>
    <s v="Sentra"/>
    <x v="246"/>
    <x v="26"/>
    <x v="1"/>
    <x v="1"/>
    <x v="0"/>
    <x v="201"/>
    <x v="0"/>
    <x v="8"/>
    <x v="3"/>
    <x v="9"/>
    <x v="0"/>
  </r>
  <r>
    <x v="252"/>
    <x v="50"/>
    <s v="F"/>
    <s v="Married"/>
    <x v="5"/>
    <x v="3"/>
    <s v="Malibu"/>
    <x v="247"/>
    <x v="55"/>
    <x v="0"/>
    <x v="0"/>
    <x v="0"/>
    <x v="133"/>
    <x v="1"/>
    <x v="6"/>
    <x v="5"/>
    <x v="17"/>
    <x v="0"/>
  </r>
  <r>
    <x v="253"/>
    <x v="20"/>
    <s v="M"/>
    <s v="Divorced"/>
    <x v="15"/>
    <x v="1"/>
    <s v="F-150"/>
    <x v="248"/>
    <x v="23"/>
    <x v="0"/>
    <x v="2"/>
    <x v="0"/>
    <x v="202"/>
    <x v="2"/>
    <x v="5"/>
    <x v="2"/>
    <x v="4"/>
    <x v="1"/>
  </r>
  <r>
    <x v="254"/>
    <x v="8"/>
    <s v="F"/>
    <s v="Married"/>
    <x v="23"/>
    <x v="1"/>
    <s v="Focus"/>
    <x v="249"/>
    <x v="9"/>
    <x v="2"/>
    <x v="1"/>
    <x v="0"/>
    <x v="203"/>
    <x v="2"/>
    <x v="0"/>
    <x v="3"/>
    <x v="13"/>
    <x v="0"/>
  </r>
  <r>
    <x v="255"/>
    <x v="47"/>
    <s v="F"/>
    <s v="Divorced"/>
    <x v="20"/>
    <x v="1"/>
    <s v="Focus"/>
    <x v="250"/>
    <x v="44"/>
    <x v="1"/>
    <x v="2"/>
    <x v="1"/>
    <x v="204"/>
    <x v="0"/>
    <x v="6"/>
    <x v="3"/>
    <x v="17"/>
    <x v="0"/>
  </r>
  <r>
    <x v="256"/>
    <x v="21"/>
    <s v="M"/>
    <s v="Single"/>
    <x v="5"/>
    <x v="0"/>
    <s v="Grand Cherokee"/>
    <x v="251"/>
    <x v="34"/>
    <x v="1"/>
    <x v="0"/>
    <x v="1"/>
    <x v="205"/>
    <x v="1"/>
    <x v="9"/>
    <x v="1"/>
    <x v="17"/>
    <x v="0"/>
  </r>
  <r>
    <x v="257"/>
    <x v="36"/>
    <s v="F"/>
    <s v="Widowed"/>
    <x v="6"/>
    <x v="1"/>
    <s v="Focus"/>
    <x v="252"/>
    <x v="46"/>
    <x v="0"/>
    <x v="1"/>
    <x v="0"/>
    <x v="205"/>
    <x v="1"/>
    <x v="7"/>
    <x v="4"/>
    <x v="10"/>
    <x v="0"/>
  </r>
  <r>
    <x v="258"/>
    <x v="20"/>
    <s v="M"/>
    <s v="Widowed"/>
    <x v="11"/>
    <x v="3"/>
    <s v="Silverado"/>
    <x v="253"/>
    <x v="23"/>
    <x v="1"/>
    <x v="1"/>
    <x v="0"/>
    <x v="206"/>
    <x v="0"/>
    <x v="0"/>
    <x v="1"/>
    <x v="7"/>
    <x v="0"/>
  </r>
  <r>
    <x v="259"/>
    <x v="56"/>
    <s v="F"/>
    <s v="Single"/>
    <x v="15"/>
    <x v="0"/>
    <s v="Wrangler"/>
    <x v="254"/>
    <x v="21"/>
    <x v="0"/>
    <x v="2"/>
    <x v="0"/>
    <x v="207"/>
    <x v="1"/>
    <x v="9"/>
    <x v="2"/>
    <x v="3"/>
    <x v="1"/>
  </r>
  <r>
    <x v="260"/>
    <x v="6"/>
    <s v="F"/>
    <s v="Widowed"/>
    <x v="0"/>
    <x v="4"/>
    <s v="CR-V"/>
    <x v="255"/>
    <x v="40"/>
    <x v="0"/>
    <x v="1"/>
    <x v="0"/>
    <x v="208"/>
    <x v="2"/>
    <x v="4"/>
    <x v="4"/>
    <x v="14"/>
    <x v="0"/>
  </r>
  <r>
    <x v="261"/>
    <x v="13"/>
    <s v="F"/>
    <s v="Widowed"/>
    <x v="5"/>
    <x v="4"/>
    <s v="Accord"/>
    <x v="256"/>
    <x v="16"/>
    <x v="1"/>
    <x v="3"/>
    <x v="0"/>
    <x v="209"/>
    <x v="1"/>
    <x v="4"/>
    <x v="0"/>
    <x v="3"/>
    <x v="0"/>
  </r>
  <r>
    <x v="262"/>
    <x v="30"/>
    <s v="M"/>
    <s v="Married"/>
    <x v="16"/>
    <x v="4"/>
    <s v="Accord"/>
    <x v="257"/>
    <x v="16"/>
    <x v="0"/>
    <x v="0"/>
    <x v="0"/>
    <x v="210"/>
    <x v="2"/>
    <x v="1"/>
    <x v="2"/>
    <x v="6"/>
    <x v="1"/>
  </r>
  <r>
    <x v="263"/>
    <x v="21"/>
    <s v="F"/>
    <s v="Widowed"/>
    <x v="19"/>
    <x v="6"/>
    <s v="5 Series"/>
    <x v="258"/>
    <x v="56"/>
    <x v="2"/>
    <x v="1"/>
    <x v="0"/>
    <x v="180"/>
    <x v="0"/>
    <x v="9"/>
    <x v="2"/>
    <x v="20"/>
    <x v="1"/>
  </r>
  <r>
    <x v="264"/>
    <x v="3"/>
    <s v="M"/>
    <s v="Divorced"/>
    <x v="19"/>
    <x v="1"/>
    <s v="F-150"/>
    <x v="259"/>
    <x v="39"/>
    <x v="1"/>
    <x v="2"/>
    <x v="0"/>
    <x v="211"/>
    <x v="1"/>
    <x v="6"/>
    <x v="1"/>
    <x v="3"/>
    <x v="0"/>
  </r>
  <r>
    <x v="265"/>
    <x v="23"/>
    <s v="M"/>
    <s v="Divorced"/>
    <x v="6"/>
    <x v="2"/>
    <s v="Corolla"/>
    <x v="260"/>
    <x v="46"/>
    <x v="0"/>
    <x v="3"/>
    <x v="0"/>
    <x v="212"/>
    <x v="0"/>
    <x v="7"/>
    <x v="1"/>
    <x v="12"/>
    <x v="0"/>
  </r>
  <r>
    <x v="266"/>
    <x v="30"/>
    <s v="F"/>
    <s v="Married"/>
    <x v="15"/>
    <x v="1"/>
    <s v="F-150"/>
    <x v="261"/>
    <x v="18"/>
    <x v="2"/>
    <x v="1"/>
    <x v="0"/>
    <x v="139"/>
    <x v="0"/>
    <x v="5"/>
    <x v="2"/>
    <x v="11"/>
    <x v="1"/>
  </r>
  <r>
    <x v="267"/>
    <x v="20"/>
    <s v="F"/>
    <s v="Divorced"/>
    <x v="7"/>
    <x v="1"/>
    <s v="F-150"/>
    <x v="262"/>
    <x v="23"/>
    <x v="1"/>
    <x v="1"/>
    <x v="1"/>
    <x v="31"/>
    <x v="2"/>
    <x v="3"/>
    <x v="2"/>
    <x v="18"/>
    <x v="1"/>
  </r>
  <r>
    <x v="268"/>
    <x v="18"/>
    <s v="F"/>
    <s v="Single"/>
    <x v="21"/>
    <x v="0"/>
    <s v="Grand Cherokee"/>
    <x v="263"/>
    <x v="43"/>
    <x v="2"/>
    <x v="3"/>
    <x v="0"/>
    <x v="173"/>
    <x v="2"/>
    <x v="2"/>
    <x v="2"/>
    <x v="14"/>
    <x v="1"/>
  </r>
  <r>
    <x v="269"/>
    <x v="47"/>
    <s v="F"/>
    <s v="Married"/>
    <x v="10"/>
    <x v="6"/>
    <s v="X5"/>
    <x v="264"/>
    <x v="0"/>
    <x v="1"/>
    <x v="1"/>
    <x v="0"/>
    <x v="109"/>
    <x v="1"/>
    <x v="1"/>
    <x v="0"/>
    <x v="20"/>
    <x v="0"/>
  </r>
  <r>
    <x v="270"/>
    <x v="1"/>
    <s v="F"/>
    <s v="Widowed"/>
    <x v="7"/>
    <x v="2"/>
    <s v="Camry"/>
    <x v="265"/>
    <x v="1"/>
    <x v="2"/>
    <x v="1"/>
    <x v="0"/>
    <x v="68"/>
    <x v="0"/>
    <x v="1"/>
    <x v="5"/>
    <x v="10"/>
    <x v="0"/>
  </r>
  <r>
    <x v="271"/>
    <x v="23"/>
    <s v="M"/>
    <s v="Divorced"/>
    <x v="4"/>
    <x v="6"/>
    <s v="5 Series"/>
    <x v="266"/>
    <x v="57"/>
    <x v="2"/>
    <x v="3"/>
    <x v="0"/>
    <x v="213"/>
    <x v="2"/>
    <x v="2"/>
    <x v="4"/>
    <x v="14"/>
    <x v="0"/>
  </r>
  <r>
    <x v="272"/>
    <x v="0"/>
    <s v="M"/>
    <s v="Married"/>
    <x v="21"/>
    <x v="6"/>
    <s v="X5"/>
    <x v="267"/>
    <x v="37"/>
    <x v="1"/>
    <x v="0"/>
    <x v="0"/>
    <x v="123"/>
    <x v="0"/>
    <x v="2"/>
    <x v="5"/>
    <x v="2"/>
    <x v="0"/>
  </r>
  <r>
    <x v="273"/>
    <x v="16"/>
    <s v="M"/>
    <s v="Divorced"/>
    <x v="10"/>
    <x v="3"/>
    <s v="Malibu"/>
    <x v="268"/>
    <x v="31"/>
    <x v="2"/>
    <x v="3"/>
    <x v="0"/>
    <x v="214"/>
    <x v="2"/>
    <x v="6"/>
    <x v="2"/>
    <x v="12"/>
    <x v="1"/>
  </r>
  <r>
    <x v="274"/>
    <x v="47"/>
    <s v="F"/>
    <s v="Single"/>
    <x v="6"/>
    <x v="2"/>
    <s v="Corolla"/>
    <x v="269"/>
    <x v="0"/>
    <x v="1"/>
    <x v="0"/>
    <x v="1"/>
    <x v="157"/>
    <x v="1"/>
    <x v="0"/>
    <x v="5"/>
    <x v="11"/>
    <x v="0"/>
  </r>
  <r>
    <x v="275"/>
    <x v="16"/>
    <s v="F"/>
    <s v="Single"/>
    <x v="23"/>
    <x v="4"/>
    <s v="CR-V"/>
    <x v="270"/>
    <x v="35"/>
    <x v="0"/>
    <x v="3"/>
    <x v="0"/>
    <x v="130"/>
    <x v="2"/>
    <x v="3"/>
    <x v="0"/>
    <x v="6"/>
    <x v="0"/>
  </r>
  <r>
    <x v="276"/>
    <x v="27"/>
    <s v="F"/>
    <s v="Married"/>
    <x v="14"/>
    <x v="2"/>
    <s v="Camry"/>
    <x v="271"/>
    <x v="23"/>
    <x v="2"/>
    <x v="2"/>
    <x v="0"/>
    <x v="215"/>
    <x v="1"/>
    <x v="2"/>
    <x v="4"/>
    <x v="20"/>
    <x v="0"/>
  </r>
  <r>
    <x v="277"/>
    <x v="37"/>
    <s v="F"/>
    <s v="Married"/>
    <x v="9"/>
    <x v="4"/>
    <s v="Civic"/>
    <x v="272"/>
    <x v="26"/>
    <x v="1"/>
    <x v="1"/>
    <x v="0"/>
    <x v="212"/>
    <x v="2"/>
    <x v="0"/>
    <x v="2"/>
    <x v="5"/>
    <x v="1"/>
  </r>
  <r>
    <x v="278"/>
    <x v="8"/>
    <s v="M"/>
    <s v="Divorced"/>
    <x v="14"/>
    <x v="4"/>
    <s v="Accord"/>
    <x v="273"/>
    <x v="42"/>
    <x v="1"/>
    <x v="0"/>
    <x v="0"/>
    <x v="55"/>
    <x v="1"/>
    <x v="4"/>
    <x v="2"/>
    <x v="20"/>
    <x v="1"/>
  </r>
  <r>
    <x v="279"/>
    <x v="18"/>
    <s v="F"/>
    <s v="Widowed"/>
    <x v="1"/>
    <x v="0"/>
    <s v="Grand Cherokee"/>
    <x v="274"/>
    <x v="38"/>
    <x v="2"/>
    <x v="2"/>
    <x v="1"/>
    <x v="195"/>
    <x v="1"/>
    <x v="3"/>
    <x v="2"/>
    <x v="7"/>
    <x v="1"/>
  </r>
  <r>
    <x v="280"/>
    <x v="31"/>
    <s v="M"/>
    <s v="Widowed"/>
    <x v="17"/>
    <x v="1"/>
    <s v="F-150"/>
    <x v="275"/>
    <x v="33"/>
    <x v="2"/>
    <x v="3"/>
    <x v="1"/>
    <x v="216"/>
    <x v="1"/>
    <x v="5"/>
    <x v="2"/>
    <x v="13"/>
    <x v="1"/>
  </r>
  <r>
    <x v="281"/>
    <x v="25"/>
    <s v="F"/>
    <s v="Single"/>
    <x v="17"/>
    <x v="4"/>
    <s v="CR-V"/>
    <x v="276"/>
    <x v="30"/>
    <x v="0"/>
    <x v="0"/>
    <x v="0"/>
    <x v="81"/>
    <x v="0"/>
    <x v="5"/>
    <x v="2"/>
    <x v="9"/>
    <x v="1"/>
  </r>
  <r>
    <x v="282"/>
    <x v="11"/>
    <s v="F"/>
    <s v="Married"/>
    <x v="12"/>
    <x v="6"/>
    <s v="5 Series"/>
    <x v="277"/>
    <x v="4"/>
    <x v="2"/>
    <x v="0"/>
    <x v="0"/>
    <x v="217"/>
    <x v="1"/>
    <x v="2"/>
    <x v="0"/>
    <x v="18"/>
    <x v="0"/>
  </r>
  <r>
    <x v="283"/>
    <x v="52"/>
    <s v="F"/>
    <s v="Married"/>
    <x v="18"/>
    <x v="5"/>
    <s v="Sentra"/>
    <x v="278"/>
    <x v="56"/>
    <x v="2"/>
    <x v="1"/>
    <x v="0"/>
    <x v="106"/>
    <x v="1"/>
    <x v="2"/>
    <x v="2"/>
    <x v="20"/>
    <x v="1"/>
  </r>
  <r>
    <x v="284"/>
    <x v="48"/>
    <s v="M"/>
    <s v="Widowed"/>
    <x v="23"/>
    <x v="5"/>
    <s v="Altima"/>
    <x v="279"/>
    <x v="34"/>
    <x v="1"/>
    <x v="0"/>
    <x v="0"/>
    <x v="154"/>
    <x v="2"/>
    <x v="7"/>
    <x v="2"/>
    <x v="11"/>
    <x v="1"/>
  </r>
  <r>
    <x v="285"/>
    <x v="25"/>
    <s v="F"/>
    <s v="Divorced"/>
    <x v="3"/>
    <x v="2"/>
    <s v="Corolla"/>
    <x v="280"/>
    <x v="42"/>
    <x v="2"/>
    <x v="3"/>
    <x v="1"/>
    <x v="145"/>
    <x v="1"/>
    <x v="0"/>
    <x v="2"/>
    <x v="14"/>
    <x v="1"/>
  </r>
  <r>
    <x v="286"/>
    <x v="13"/>
    <s v="M"/>
    <s v="Widowed"/>
    <x v="9"/>
    <x v="4"/>
    <s v="Civic"/>
    <x v="281"/>
    <x v="16"/>
    <x v="1"/>
    <x v="1"/>
    <x v="0"/>
    <x v="59"/>
    <x v="1"/>
    <x v="4"/>
    <x v="2"/>
    <x v="19"/>
    <x v="1"/>
  </r>
  <r>
    <x v="287"/>
    <x v="37"/>
    <s v="M"/>
    <s v="Single"/>
    <x v="23"/>
    <x v="5"/>
    <s v="Sentra"/>
    <x v="282"/>
    <x v="10"/>
    <x v="1"/>
    <x v="0"/>
    <x v="1"/>
    <x v="218"/>
    <x v="0"/>
    <x v="9"/>
    <x v="2"/>
    <x v="9"/>
    <x v="1"/>
  </r>
  <r>
    <x v="288"/>
    <x v="11"/>
    <s v="M"/>
    <s v="Married"/>
    <x v="15"/>
    <x v="6"/>
    <s v="3 Series"/>
    <x v="283"/>
    <x v="5"/>
    <x v="1"/>
    <x v="1"/>
    <x v="1"/>
    <x v="219"/>
    <x v="2"/>
    <x v="8"/>
    <x v="2"/>
    <x v="5"/>
    <x v="1"/>
  </r>
  <r>
    <x v="289"/>
    <x v="0"/>
    <s v="M"/>
    <s v="Widowed"/>
    <x v="5"/>
    <x v="5"/>
    <s v="Sentra"/>
    <x v="284"/>
    <x v="0"/>
    <x v="2"/>
    <x v="2"/>
    <x v="0"/>
    <x v="101"/>
    <x v="2"/>
    <x v="5"/>
    <x v="0"/>
    <x v="13"/>
    <x v="0"/>
  </r>
  <r>
    <x v="290"/>
    <x v="2"/>
    <s v="F"/>
    <s v="Divorced"/>
    <x v="8"/>
    <x v="0"/>
    <s v="Wrangler"/>
    <x v="285"/>
    <x v="55"/>
    <x v="2"/>
    <x v="1"/>
    <x v="0"/>
    <x v="220"/>
    <x v="0"/>
    <x v="5"/>
    <x v="5"/>
    <x v="18"/>
    <x v="0"/>
  </r>
  <r>
    <x v="291"/>
    <x v="5"/>
    <s v="M"/>
    <s v="Married"/>
    <x v="23"/>
    <x v="0"/>
    <s v="Wrangler"/>
    <x v="286"/>
    <x v="28"/>
    <x v="1"/>
    <x v="1"/>
    <x v="1"/>
    <x v="221"/>
    <x v="2"/>
    <x v="5"/>
    <x v="2"/>
    <x v="4"/>
    <x v="1"/>
  </r>
  <r>
    <x v="292"/>
    <x v="48"/>
    <s v="F"/>
    <s v="Divorced"/>
    <x v="12"/>
    <x v="6"/>
    <s v="5 Series"/>
    <x v="287"/>
    <x v="54"/>
    <x v="2"/>
    <x v="3"/>
    <x v="0"/>
    <x v="136"/>
    <x v="1"/>
    <x v="3"/>
    <x v="0"/>
    <x v="15"/>
    <x v="0"/>
  </r>
  <r>
    <x v="293"/>
    <x v="46"/>
    <s v="M"/>
    <s v="Single"/>
    <x v="13"/>
    <x v="0"/>
    <s v="Grand Cherokee"/>
    <x v="288"/>
    <x v="7"/>
    <x v="1"/>
    <x v="0"/>
    <x v="0"/>
    <x v="222"/>
    <x v="0"/>
    <x v="5"/>
    <x v="2"/>
    <x v="11"/>
    <x v="1"/>
  </r>
  <r>
    <x v="294"/>
    <x v="25"/>
    <s v="M"/>
    <s v="Divorced"/>
    <x v="10"/>
    <x v="1"/>
    <s v="F-150"/>
    <x v="289"/>
    <x v="9"/>
    <x v="0"/>
    <x v="2"/>
    <x v="1"/>
    <x v="223"/>
    <x v="2"/>
    <x v="8"/>
    <x v="4"/>
    <x v="12"/>
    <x v="0"/>
  </r>
  <r>
    <x v="295"/>
    <x v="3"/>
    <s v="F"/>
    <s v="Widowed"/>
    <x v="21"/>
    <x v="4"/>
    <s v="Accord"/>
    <x v="290"/>
    <x v="36"/>
    <x v="2"/>
    <x v="1"/>
    <x v="1"/>
    <x v="224"/>
    <x v="1"/>
    <x v="7"/>
    <x v="4"/>
    <x v="11"/>
    <x v="0"/>
  </r>
  <r>
    <x v="296"/>
    <x v="32"/>
    <s v="M"/>
    <s v="Single"/>
    <x v="18"/>
    <x v="4"/>
    <s v="Accord"/>
    <x v="291"/>
    <x v="27"/>
    <x v="1"/>
    <x v="2"/>
    <x v="1"/>
    <x v="202"/>
    <x v="2"/>
    <x v="4"/>
    <x v="2"/>
    <x v="13"/>
    <x v="1"/>
  </r>
  <r>
    <x v="297"/>
    <x v="23"/>
    <s v="F"/>
    <s v="Single"/>
    <x v="22"/>
    <x v="4"/>
    <s v="Accord"/>
    <x v="292"/>
    <x v="46"/>
    <x v="1"/>
    <x v="1"/>
    <x v="1"/>
    <x v="22"/>
    <x v="1"/>
    <x v="6"/>
    <x v="2"/>
    <x v="11"/>
    <x v="1"/>
  </r>
  <r>
    <x v="298"/>
    <x v="45"/>
    <s v="F"/>
    <s v="Divorced"/>
    <x v="6"/>
    <x v="0"/>
    <s v="Wrangler"/>
    <x v="293"/>
    <x v="10"/>
    <x v="2"/>
    <x v="1"/>
    <x v="0"/>
    <x v="225"/>
    <x v="1"/>
    <x v="2"/>
    <x v="2"/>
    <x v="12"/>
    <x v="1"/>
  </r>
  <r>
    <x v="299"/>
    <x v="19"/>
    <s v="F"/>
    <s v="Married"/>
    <x v="5"/>
    <x v="4"/>
    <s v="CR-V"/>
    <x v="294"/>
    <x v="54"/>
    <x v="1"/>
    <x v="0"/>
    <x v="0"/>
    <x v="59"/>
    <x v="0"/>
    <x v="7"/>
    <x v="5"/>
    <x v="6"/>
    <x v="0"/>
  </r>
  <r>
    <x v="300"/>
    <x v="7"/>
    <s v="F"/>
    <s v="Widowed"/>
    <x v="3"/>
    <x v="4"/>
    <s v="Civic"/>
    <x v="295"/>
    <x v="10"/>
    <x v="2"/>
    <x v="3"/>
    <x v="0"/>
    <x v="226"/>
    <x v="1"/>
    <x v="7"/>
    <x v="1"/>
    <x v="12"/>
    <x v="0"/>
  </r>
  <r>
    <x v="301"/>
    <x v="57"/>
    <s v="F"/>
    <s v="Widowed"/>
    <x v="3"/>
    <x v="2"/>
    <s v="Corolla"/>
    <x v="296"/>
    <x v="25"/>
    <x v="2"/>
    <x v="1"/>
    <x v="0"/>
    <x v="227"/>
    <x v="2"/>
    <x v="7"/>
    <x v="4"/>
    <x v="10"/>
    <x v="0"/>
  </r>
  <r>
    <x v="302"/>
    <x v="26"/>
    <s v="F"/>
    <s v="Divorced"/>
    <x v="7"/>
    <x v="0"/>
    <s v="Grand Cherokee"/>
    <x v="297"/>
    <x v="7"/>
    <x v="2"/>
    <x v="3"/>
    <x v="0"/>
    <x v="228"/>
    <x v="1"/>
    <x v="0"/>
    <x v="2"/>
    <x v="15"/>
    <x v="1"/>
  </r>
  <r>
    <x v="303"/>
    <x v="17"/>
    <s v="M"/>
    <s v="Single"/>
    <x v="2"/>
    <x v="4"/>
    <s v="Civic"/>
    <x v="298"/>
    <x v="0"/>
    <x v="1"/>
    <x v="2"/>
    <x v="0"/>
    <x v="229"/>
    <x v="2"/>
    <x v="7"/>
    <x v="1"/>
    <x v="5"/>
    <x v="0"/>
  </r>
  <r>
    <x v="304"/>
    <x v="0"/>
    <s v="F"/>
    <s v="Divorced"/>
    <x v="22"/>
    <x v="6"/>
    <s v="3 Series"/>
    <x v="299"/>
    <x v="21"/>
    <x v="1"/>
    <x v="1"/>
    <x v="0"/>
    <x v="190"/>
    <x v="0"/>
    <x v="2"/>
    <x v="3"/>
    <x v="20"/>
    <x v="0"/>
  </r>
  <r>
    <x v="305"/>
    <x v="31"/>
    <s v="F"/>
    <s v="Married"/>
    <x v="17"/>
    <x v="4"/>
    <s v="Civic"/>
    <x v="300"/>
    <x v="3"/>
    <x v="2"/>
    <x v="3"/>
    <x v="0"/>
    <x v="230"/>
    <x v="0"/>
    <x v="6"/>
    <x v="3"/>
    <x v="12"/>
    <x v="0"/>
  </r>
  <r>
    <x v="306"/>
    <x v="27"/>
    <s v="F"/>
    <s v="Single"/>
    <x v="23"/>
    <x v="1"/>
    <s v="Focus"/>
    <x v="301"/>
    <x v="23"/>
    <x v="1"/>
    <x v="3"/>
    <x v="0"/>
    <x v="231"/>
    <x v="1"/>
    <x v="8"/>
    <x v="1"/>
    <x v="9"/>
    <x v="0"/>
  </r>
  <r>
    <x v="307"/>
    <x v="41"/>
    <s v="M"/>
    <s v="Widowed"/>
    <x v="23"/>
    <x v="6"/>
    <s v="3 Series"/>
    <x v="302"/>
    <x v="47"/>
    <x v="2"/>
    <x v="0"/>
    <x v="0"/>
    <x v="232"/>
    <x v="0"/>
    <x v="5"/>
    <x v="3"/>
    <x v="7"/>
    <x v="0"/>
  </r>
  <r>
    <x v="308"/>
    <x v="24"/>
    <s v="M"/>
    <s v="Single"/>
    <x v="19"/>
    <x v="4"/>
    <s v="Accord"/>
    <x v="303"/>
    <x v="29"/>
    <x v="1"/>
    <x v="3"/>
    <x v="0"/>
    <x v="168"/>
    <x v="0"/>
    <x v="5"/>
    <x v="0"/>
    <x v="19"/>
    <x v="0"/>
  </r>
  <r>
    <x v="309"/>
    <x v="3"/>
    <s v="F"/>
    <s v="Divorced"/>
    <x v="24"/>
    <x v="4"/>
    <s v="Accord"/>
    <x v="304"/>
    <x v="43"/>
    <x v="2"/>
    <x v="0"/>
    <x v="1"/>
    <x v="61"/>
    <x v="1"/>
    <x v="7"/>
    <x v="3"/>
    <x v="13"/>
    <x v="0"/>
  </r>
  <r>
    <x v="310"/>
    <x v="52"/>
    <s v="M"/>
    <s v="Married"/>
    <x v="14"/>
    <x v="1"/>
    <s v="F-150"/>
    <x v="305"/>
    <x v="4"/>
    <x v="2"/>
    <x v="1"/>
    <x v="0"/>
    <x v="233"/>
    <x v="1"/>
    <x v="9"/>
    <x v="2"/>
    <x v="4"/>
    <x v="1"/>
  </r>
  <r>
    <x v="311"/>
    <x v="49"/>
    <s v="M"/>
    <s v="Divorced"/>
    <x v="23"/>
    <x v="1"/>
    <s v="Focus"/>
    <x v="306"/>
    <x v="13"/>
    <x v="1"/>
    <x v="3"/>
    <x v="0"/>
    <x v="234"/>
    <x v="0"/>
    <x v="2"/>
    <x v="0"/>
    <x v="15"/>
    <x v="0"/>
  </r>
  <r>
    <x v="312"/>
    <x v="34"/>
    <s v="F"/>
    <s v="Single"/>
    <x v="8"/>
    <x v="1"/>
    <s v="Focus"/>
    <x v="307"/>
    <x v="35"/>
    <x v="2"/>
    <x v="2"/>
    <x v="1"/>
    <x v="235"/>
    <x v="0"/>
    <x v="8"/>
    <x v="2"/>
    <x v="6"/>
    <x v="1"/>
  </r>
  <r>
    <x v="313"/>
    <x v="30"/>
    <s v="F"/>
    <s v="Married"/>
    <x v="3"/>
    <x v="0"/>
    <s v="Wrangler"/>
    <x v="308"/>
    <x v="18"/>
    <x v="1"/>
    <x v="0"/>
    <x v="0"/>
    <x v="236"/>
    <x v="2"/>
    <x v="0"/>
    <x v="2"/>
    <x v="11"/>
    <x v="1"/>
  </r>
  <r>
    <x v="314"/>
    <x v="55"/>
    <s v="M"/>
    <s v="Widowed"/>
    <x v="15"/>
    <x v="4"/>
    <s v="Civic"/>
    <x v="309"/>
    <x v="14"/>
    <x v="2"/>
    <x v="0"/>
    <x v="0"/>
    <x v="192"/>
    <x v="0"/>
    <x v="6"/>
    <x v="2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E476-369D-46AC-B149-30548FDFFD3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3" firstHeaderRow="1" firstDataRow="1" firstDataCol="1"/>
  <pivotFields count="17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olicy_ID" fld="0" subtotal="count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8A0FD-2B9F-4A73-8332-6BCD2E44144F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laim Last Year">
  <location ref="P14:Q17" firstHeaderRow="1" firstDataRow="1" firstDataCol="1"/>
  <pivotFields count="18">
    <pivotField dataField="1"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Policy_ID" fld="0" subtotal="count" baseField="0" baseItem="0"/>
  </dataFields>
  <chartFormats count="4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BE896-6EA2-489E-8CCE-57B9C6C5D54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im Cost Last Year">
  <location ref="P5:Q12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63B5E-50CE-4E3E-A4B8-80F231E64F4E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ence">
  <location ref="G4:H11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FEEA-8CD6-427D-884F-6D97AEA4A4A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verage">
  <location ref="J17:K21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AB525-3E80-4357-A31F-0706F3D43C4B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t Fault #">
  <location ref="G13:H17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_ID" fld="0" subtotal="count" baseField="0" baseItem="0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2257F-3F59-4D6B-A1F3-7F2DC9B01B70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2:E2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8">
        <item x="6"/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2C02C-4CFE-4379-AC5A-2E61B7360D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UI">
  <location ref="J4:K7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m="1" x="3"/>
        <item x="1"/>
        <item x="0"/>
        <item m="1" x="4"/>
        <item m="1"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dataFields count="1">
    <dataField name="Count of Policy_ID" fld="0" subtotal="count" baseField="0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63A6-E78F-444C-ADAF-38C99252953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4:E1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C5AC1-D4F5-4BE0-9061-899061C279B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redit Score">
  <location ref="J9:K15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1C502-EF72-4A1C-AB15-AE6E264165F8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nnual Mileage">
  <location ref="D22:E3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10C22-5CB5-4E2A-85CA-BEE0B9BD20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11" firstHeaderRow="1" firstDataRow="1" firstDataCol="1"/>
  <pivotFields count="17">
    <pivotField dataField="1"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7C57A-9D35-489A-A941-15D616AA2BD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7:N39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24">
        <item m="1" x="21"/>
        <item m="1" x="22"/>
        <item x="6"/>
        <item x="1"/>
        <item x="16"/>
        <item x="11"/>
        <item x="10"/>
        <item x="19"/>
        <item x="20"/>
        <item x="3"/>
        <item x="14"/>
        <item x="12"/>
        <item x="5"/>
        <item x="9"/>
        <item x="8"/>
        <item x="17"/>
        <item x="2"/>
        <item x="18"/>
        <item x="13"/>
        <item x="15"/>
        <item x="0"/>
        <item x="4"/>
        <item x="7"/>
        <item t="default"/>
      </items>
    </pivotField>
    <pivotField showAll="0"/>
  </pivotFields>
  <rowFields count="1">
    <field x="16"/>
  </rowFields>
  <rowItems count="2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0B232-B495-4868-BF3B-37209DD5FB0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15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13">
        <item m="1" x="11"/>
        <item x="2"/>
        <item x="4"/>
        <item x="7"/>
        <item x="6"/>
        <item x="8"/>
        <item x="0"/>
        <item x="3"/>
        <item x="9"/>
        <item x="5"/>
        <item x="1"/>
        <item m="1" x="10"/>
        <item t="default"/>
      </items>
    </pivotField>
    <pivotField showAll="0"/>
    <pivotField showAll="0"/>
    <pivotField showAll="0"/>
  </pivotFields>
  <rowFields count="1">
    <field x="1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74CED-3FC3-4F3B-8F79-E710351AAB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:B18" firstHeaderRow="1" firstDataRow="1" firstDataCol="1"/>
  <pivotFields count="17">
    <pivotField dataField="1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C9C5F-6C07-4AF3-ADDB-067738265B73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Speeding Ticket #">
  <location ref="G19:H24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chartFormats count="5"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F2FEEC-2227-4B2C-A671-8DB260EAFAAB}" name="Table4" displayName="Table4" ref="A1:R319" totalsRowShown="0" headerRowDxfId="20" dataDxfId="19" tableBorderDxfId="18">
  <autoFilter ref="A1:R319" xr:uid="{27F2FEEC-2227-4B2C-A671-8DB260EAFAAB}"/>
  <sortState xmlns:xlrd2="http://schemas.microsoft.com/office/spreadsheetml/2017/richdata2" ref="A2:Q319">
    <sortCondition ref="A1:A319"/>
  </sortState>
  <tableColumns count="18">
    <tableColumn id="1" xr3:uid="{2A4A8569-D703-46DA-9B54-CE7478287499}" name="Policy_ID" dataDxfId="17"/>
    <tableColumn id="2" xr3:uid="{CA70A0BA-FD58-45F1-A2B2-F6DEC5EFD152}" name="Applicant_Age" dataDxfId="16"/>
    <tableColumn id="3" xr3:uid="{A239C1B5-FE39-49F5-BD22-278D3B8D7BE8}" name="Gender" dataDxfId="15"/>
    <tableColumn id="4" xr3:uid="{DAE02502-E7EA-4194-9BD7-B247BB5A6FDF}" name="Marital_Status" dataDxfId="14"/>
    <tableColumn id="5" xr3:uid="{FBAA1C45-D61E-4862-AFED-5EE528AFC54F}" name="Vehicle_Year" dataDxfId="13"/>
    <tableColumn id="6" xr3:uid="{7E8BB4F5-1176-45D5-B3E8-2B8F2CF392F6}" name="Vehicle_Make" dataDxfId="12"/>
    <tableColumn id="7" xr3:uid="{8285640C-98C5-46BC-BBA1-AEC174414091}" name="Vehicle_Model" dataDxfId="11"/>
    <tableColumn id="8" xr3:uid="{A0A52AE4-9DB1-49A2-9B7D-B6D3BE43743B}" name="Annual_Mileage" dataDxfId="10"/>
    <tableColumn id="9" xr3:uid="{A74EB47A-2E08-4FF4-A959-8F1EBAD4A8EB}" name="Years_Driving_Exp" dataDxfId="9"/>
    <tableColumn id="10" xr3:uid="{A2684D76-1B0F-4244-8B48-115367A00B12}" name="At_Fault_Accidents_5yr" dataDxfId="8"/>
    <tableColumn id="11" xr3:uid="{AFD02206-7730-42B4-A85B-F3E308F12EC4}" name="Speeding_Tickets_3yr" dataDxfId="7"/>
    <tableColumn id="12" xr3:uid="{AA506AFA-A40D-4979-B9B6-C4ED02B6793F}" name="DUI" dataDxfId="6"/>
    <tableColumn id="13" xr3:uid="{0ECB26AB-7895-43D1-88A0-5DB95EAAA5E5}" name="Credit_Score" dataDxfId="5"/>
    <tableColumn id="14" xr3:uid="{23AC0BBC-582B-4B16-BCB4-CBA94118D902}" name="Coverage_Type" dataDxfId="4"/>
    <tableColumn id="15" xr3:uid="{84AF22E7-A532-4D97-A031-CA07320BC646}" name="Prior_Insurance_Carrier" dataDxfId="3"/>
    <tableColumn id="16" xr3:uid="{A354994A-FEFC-4AAD-9A68-24277E862390}" name="Claim_Amount_Last_Year" dataDxfId="2"/>
    <tableColumn id="17" xr3:uid="{68E54DDC-3642-4047-A36D-F3D15F904848}" name="State" dataDxfId="1"/>
    <tableColumn id="18" xr3:uid="{21E52BB6-40E7-4E15-82C5-B3A8774C994E}" name="Claim Last Year" dataDxfId="0">
      <calculatedColumnFormula>IF(P2&gt;0, "Y", "N")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EC6BA-4549-4D8B-A546-2D8ADC4A575B}" name="Table3" displayName="Table3" ref="B2:I320" totalsRowShown="0">
  <autoFilter ref="B2:I320" xr:uid="{CC1EC6BA-4549-4D8B-A546-2D8ADC4A575B}"/>
  <sortState xmlns:xlrd2="http://schemas.microsoft.com/office/spreadsheetml/2017/richdata2" ref="B3:I320">
    <sortCondition ref="I2:I320"/>
  </sortState>
  <tableColumns count="8">
    <tableColumn id="1" xr3:uid="{BE3035E5-0C52-4FD6-B764-3AFB3444BF71}" name="Applicant Age">
      <calculatedColumnFormula>_xlfn.XLOOKUP(insurance_policy_data!B2,Sheet2!$B$3:$B$8,Sheet2!$C$3:$C$8,,-1)</calculatedColumnFormula>
    </tableColumn>
    <tableColumn id="2" xr3:uid="{CF5D9A64-ECDF-49DD-8243-969B13A81B19}" name="Years_Exp">
      <calculatedColumnFormula>_xlfn.XLOOKUP(insurance_policy_data!I2,Sheet2!$E$3:$E$7,Sheet2!$F$3:$F$7,,-1)</calculatedColumnFormula>
    </tableColumn>
    <tableColumn id="3" xr3:uid="{13F952AC-778E-47EF-A7BA-EA31CFE72DDE}" name="At_Fault_Accidents">
      <calculatedColumnFormula>_xlfn.XLOOKUP(insurance_policy_data!P2,Sheet2!$H$3:$H$5,Sheet2!$I$3:$I$5,,-1)</calculatedColumnFormula>
    </tableColumn>
    <tableColumn id="4" xr3:uid="{303493CE-E03B-4C54-B2FC-6CA41DED7526}" name="credit_score">
      <calculatedColumnFormula>_xlfn.XLOOKUP(insurance_policy_data!M2,Sheet2!$K$3:$K$7,Sheet2!$L$3:$L$7,,-1)</calculatedColumnFormula>
    </tableColumn>
    <tableColumn id="5" xr3:uid="{403BDC68-7DA1-41C6-A3B0-1CCA83FED7B2}" name="annual_milage">
      <calculatedColumnFormula>_xlfn.XLOOKUP(insurance_policy_data!H2,Sheet2!$N$3:$N$9,Sheet2!$O$3:$O$9,,-1)</calculatedColumnFormula>
    </tableColumn>
    <tableColumn id="6" xr3:uid="{F4E33BF3-7D2D-45D5-95C9-F9E4D0398189}" name="DUI">
      <calculatedColumnFormula>_xlfn.XLOOKUP(insurance_policy_data!L2,Sheet2!$Q$3:$Q$4,Sheet2!$R$3:$R$4)</calculatedColumnFormula>
    </tableColumn>
    <tableColumn id="7" xr3:uid="{009996E3-2E07-47DA-8C73-59AF38192667}" name="Coverage">
      <calculatedColumnFormula>_xlfn.XLOOKUP(insurance_policy_data!N2,Sheet2!$T$3:$T$5,Sheet2!$U$3:$U$5,,-1)</calculatedColumnFormula>
    </tableColumn>
    <tableColumn id="8" xr3:uid="{3E96686B-784C-4451-BAF3-BE17604621F3}" name="Cost">
      <calculatedColumnFormula>(B3*C3*D3*E3*F3*G3*H3)*80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5E906-713F-4884-B41F-91C564790810}" name="Table2" displayName="Table2" ref="P6:Q9" totalsRowShown="0">
  <autoFilter ref="P6:Q9" xr:uid="{5C55E906-713F-4884-B41F-91C564790810}"/>
  <tableColumns count="2">
    <tableColumn id="1" xr3:uid="{B4213AED-0274-48A3-9EF1-F052C03258DF}" name="Column1"/>
    <tableColumn id="2" xr3:uid="{1FA28009-2CE2-49D8-AC98-E0DCBD8A165B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038-D562-496C-8AD4-7404D037F4C6}">
  <dimension ref="A1:R319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0.5546875" customWidth="1"/>
    <col min="2" max="2" width="14.77734375" customWidth="1"/>
    <col min="3" max="3" width="9" customWidth="1"/>
    <col min="4" max="4" width="14.88671875" customWidth="1"/>
    <col min="5" max="5" width="13.5546875" customWidth="1"/>
    <col min="6" max="6" width="14.33203125" customWidth="1"/>
    <col min="7" max="7" width="15" customWidth="1"/>
    <col min="8" max="8" width="15.77734375" customWidth="1"/>
    <col min="9" max="9" width="17.77734375" customWidth="1"/>
    <col min="10" max="10" width="22.109375" customWidth="1"/>
    <col min="11" max="11" width="20.77734375" customWidth="1"/>
    <col min="12" max="12" width="5.88671875" customWidth="1"/>
    <col min="13" max="13" width="13.6640625" customWidth="1"/>
    <col min="14" max="14" width="15.21875" customWidth="1"/>
    <col min="15" max="15" width="22.33203125" customWidth="1"/>
    <col min="16" max="16" width="23.77734375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439</v>
      </c>
    </row>
    <row r="2" spans="1:18" x14ac:dyDescent="0.3">
      <c r="A2" s="1" t="s">
        <v>17</v>
      </c>
      <c r="B2" s="1">
        <v>23</v>
      </c>
      <c r="C2" s="1" t="s">
        <v>18</v>
      </c>
      <c r="D2" s="1" t="s">
        <v>19</v>
      </c>
      <c r="E2" s="1">
        <v>2016</v>
      </c>
      <c r="F2" s="1" t="s">
        <v>20</v>
      </c>
      <c r="G2" s="1" t="s">
        <v>21</v>
      </c>
      <c r="H2" s="1">
        <v>21390</v>
      </c>
      <c r="I2" s="1">
        <v>6</v>
      </c>
      <c r="J2" s="1">
        <v>2</v>
      </c>
      <c r="K2" s="1">
        <v>3</v>
      </c>
      <c r="L2" s="1" t="s">
        <v>35</v>
      </c>
      <c r="M2" s="1">
        <v>729</v>
      </c>
      <c r="N2" s="1" t="s">
        <v>22</v>
      </c>
      <c r="O2" s="1" t="s">
        <v>23</v>
      </c>
      <c r="P2" s="1">
        <v>1200</v>
      </c>
      <c r="Q2" s="1" t="s">
        <v>24</v>
      </c>
      <c r="R2" t="str">
        <f>IF(P2&gt;0, "Y", "N")</f>
        <v>Y</v>
      </c>
    </row>
    <row r="3" spans="1:18" x14ac:dyDescent="0.3">
      <c r="A3" s="2" t="s">
        <v>25</v>
      </c>
      <c r="B3" s="2">
        <v>66</v>
      </c>
      <c r="C3" s="2" t="s">
        <v>18</v>
      </c>
      <c r="D3" s="2" t="s">
        <v>26</v>
      </c>
      <c r="E3" s="2">
        <v>2010</v>
      </c>
      <c r="F3" s="2" t="s">
        <v>27</v>
      </c>
      <c r="G3" s="2" t="s">
        <v>28</v>
      </c>
      <c r="H3" s="2">
        <v>10055</v>
      </c>
      <c r="I3" s="2">
        <v>48</v>
      </c>
      <c r="J3" s="2">
        <v>0</v>
      </c>
      <c r="K3" s="2">
        <v>0</v>
      </c>
      <c r="L3" s="2" t="s">
        <v>29</v>
      </c>
      <c r="M3" s="2">
        <v>399</v>
      </c>
      <c r="N3" s="2" t="s">
        <v>75</v>
      </c>
      <c r="O3" s="2" t="s">
        <v>30</v>
      </c>
      <c r="P3" s="2">
        <v>1200</v>
      </c>
      <c r="Q3" s="2" t="s">
        <v>31</v>
      </c>
      <c r="R3" t="str">
        <f t="shared" ref="R3:R66" si="0">IF(P3&gt;0, "Y", "N")</f>
        <v>Y</v>
      </c>
    </row>
    <row r="4" spans="1:18" x14ac:dyDescent="0.3">
      <c r="A4" s="1" t="s">
        <v>32</v>
      </c>
      <c r="B4" s="1">
        <v>64</v>
      </c>
      <c r="C4" s="1" t="s">
        <v>60</v>
      </c>
      <c r="D4" s="1" t="s">
        <v>33</v>
      </c>
      <c r="E4" s="1">
        <v>2012</v>
      </c>
      <c r="F4" s="1" t="s">
        <v>69</v>
      </c>
      <c r="G4" s="1" t="s">
        <v>34</v>
      </c>
      <c r="H4" s="1">
        <v>23599</v>
      </c>
      <c r="I4" s="1">
        <v>44</v>
      </c>
      <c r="J4" s="1">
        <v>0</v>
      </c>
      <c r="K4" s="1">
        <v>2</v>
      </c>
      <c r="L4" s="1" t="s">
        <v>35</v>
      </c>
      <c r="M4" s="1">
        <v>371</v>
      </c>
      <c r="N4" s="1" t="s">
        <v>22</v>
      </c>
      <c r="O4" s="1" t="s">
        <v>36</v>
      </c>
      <c r="P4" s="1">
        <v>1200</v>
      </c>
      <c r="Q4" s="1" t="s">
        <v>37</v>
      </c>
      <c r="R4" t="str">
        <f t="shared" si="0"/>
        <v>Y</v>
      </c>
    </row>
    <row r="5" spans="1:18" x14ac:dyDescent="0.3">
      <c r="A5" s="2" t="s">
        <v>42</v>
      </c>
      <c r="B5" s="2">
        <v>35</v>
      </c>
      <c r="C5" s="2" t="s">
        <v>18</v>
      </c>
      <c r="D5" s="2" t="s">
        <v>19</v>
      </c>
      <c r="E5" s="2">
        <v>2018</v>
      </c>
      <c r="F5" s="2" t="s">
        <v>27</v>
      </c>
      <c r="G5" s="2" t="s">
        <v>28</v>
      </c>
      <c r="H5" s="2">
        <v>24477</v>
      </c>
      <c r="I5" s="2">
        <v>16</v>
      </c>
      <c r="J5" s="2">
        <v>1</v>
      </c>
      <c r="K5" s="2">
        <v>3</v>
      </c>
      <c r="L5" s="2" t="s">
        <v>29</v>
      </c>
      <c r="M5" s="2">
        <v>446</v>
      </c>
      <c r="N5" s="2" t="s">
        <v>75</v>
      </c>
      <c r="O5" s="2" t="s">
        <v>43</v>
      </c>
      <c r="P5" s="2">
        <v>500</v>
      </c>
      <c r="Q5" s="2" t="s">
        <v>44</v>
      </c>
      <c r="R5" t="str">
        <f t="shared" si="0"/>
        <v>Y</v>
      </c>
    </row>
    <row r="6" spans="1:18" x14ac:dyDescent="0.3">
      <c r="A6" s="1" t="s">
        <v>45</v>
      </c>
      <c r="B6" s="1">
        <v>52</v>
      </c>
      <c r="C6" s="1" t="s">
        <v>18</v>
      </c>
      <c r="D6" s="1" t="s">
        <v>26</v>
      </c>
      <c r="E6" s="1">
        <v>2018</v>
      </c>
      <c r="F6" s="1" t="s">
        <v>46</v>
      </c>
      <c r="G6" s="1" t="s">
        <v>47</v>
      </c>
      <c r="H6" s="1">
        <v>10186</v>
      </c>
      <c r="I6" s="1">
        <v>35</v>
      </c>
      <c r="J6" s="1">
        <v>1</v>
      </c>
      <c r="K6" s="1">
        <v>1</v>
      </c>
      <c r="L6" s="1" t="s">
        <v>35</v>
      </c>
      <c r="M6" s="1">
        <v>348</v>
      </c>
      <c r="N6" s="1" t="s">
        <v>22</v>
      </c>
      <c r="O6" s="1" t="s">
        <v>43</v>
      </c>
      <c r="P6" s="1">
        <v>0</v>
      </c>
      <c r="Q6" s="1" t="s">
        <v>48</v>
      </c>
      <c r="R6" t="str">
        <f t="shared" si="0"/>
        <v>N</v>
      </c>
    </row>
    <row r="7" spans="1:18" x14ac:dyDescent="0.3">
      <c r="A7" s="2" t="s">
        <v>49</v>
      </c>
      <c r="B7" s="2">
        <v>56</v>
      </c>
      <c r="C7" s="2" t="s">
        <v>18</v>
      </c>
      <c r="D7" s="2" t="s">
        <v>26</v>
      </c>
      <c r="E7" s="2">
        <v>2012</v>
      </c>
      <c r="F7" s="2" t="s">
        <v>20</v>
      </c>
      <c r="G7" s="2" t="s">
        <v>50</v>
      </c>
      <c r="H7" s="2">
        <v>20338</v>
      </c>
      <c r="I7" s="2">
        <v>38</v>
      </c>
      <c r="J7" s="2">
        <v>1</v>
      </c>
      <c r="K7" s="2">
        <v>0</v>
      </c>
      <c r="L7" s="2" t="s">
        <v>35</v>
      </c>
      <c r="M7" s="2">
        <v>849</v>
      </c>
      <c r="N7" s="2" t="s">
        <v>75</v>
      </c>
      <c r="O7" s="2" t="s">
        <v>30</v>
      </c>
      <c r="P7" s="2">
        <v>0</v>
      </c>
      <c r="Q7" s="2" t="s">
        <v>51</v>
      </c>
      <c r="R7" t="str">
        <f t="shared" si="0"/>
        <v>N</v>
      </c>
    </row>
    <row r="8" spans="1:18" x14ac:dyDescent="0.3">
      <c r="A8" s="1" t="s">
        <v>52</v>
      </c>
      <c r="B8" s="1">
        <v>45</v>
      </c>
      <c r="C8" s="1" t="s">
        <v>18</v>
      </c>
      <c r="D8" s="1" t="s">
        <v>26</v>
      </c>
      <c r="E8" s="1">
        <v>2000</v>
      </c>
      <c r="F8" s="1" t="s">
        <v>27</v>
      </c>
      <c r="G8" s="1" t="s">
        <v>53</v>
      </c>
      <c r="H8" s="1">
        <v>8854</v>
      </c>
      <c r="I8" s="1">
        <v>25</v>
      </c>
      <c r="J8" s="1">
        <v>0</v>
      </c>
      <c r="K8" s="1">
        <v>3</v>
      </c>
      <c r="L8" s="1" t="s">
        <v>29</v>
      </c>
      <c r="M8" s="1">
        <v>819</v>
      </c>
      <c r="N8" s="1" t="s">
        <v>39</v>
      </c>
      <c r="O8" s="1" t="s">
        <v>36</v>
      </c>
      <c r="P8" s="1">
        <v>0</v>
      </c>
      <c r="Q8" s="1" t="s">
        <v>54</v>
      </c>
      <c r="R8" t="str">
        <f t="shared" si="0"/>
        <v>N</v>
      </c>
    </row>
    <row r="9" spans="1:18" x14ac:dyDescent="0.3">
      <c r="A9" s="2" t="s">
        <v>55</v>
      </c>
      <c r="B9" s="2">
        <v>66</v>
      </c>
      <c r="C9" s="2" t="s">
        <v>18</v>
      </c>
      <c r="D9" s="2" t="s">
        <v>33</v>
      </c>
      <c r="E9" s="2">
        <v>2019</v>
      </c>
      <c r="F9" s="2" t="s">
        <v>27</v>
      </c>
      <c r="G9" s="2" t="s">
        <v>38</v>
      </c>
      <c r="H9" s="2">
        <v>3638</v>
      </c>
      <c r="I9" s="2">
        <v>50</v>
      </c>
      <c r="J9" s="2">
        <v>0</v>
      </c>
      <c r="K9" s="2">
        <v>1</v>
      </c>
      <c r="L9" s="2" t="s">
        <v>35</v>
      </c>
      <c r="M9" s="2">
        <v>359</v>
      </c>
      <c r="N9" s="2" t="s">
        <v>22</v>
      </c>
      <c r="O9" s="2" t="s">
        <v>432</v>
      </c>
      <c r="P9" s="2">
        <v>0</v>
      </c>
      <c r="Q9" s="2" t="s">
        <v>37</v>
      </c>
      <c r="R9" t="str">
        <f t="shared" si="0"/>
        <v>N</v>
      </c>
    </row>
    <row r="10" spans="1:18" x14ac:dyDescent="0.3">
      <c r="A10" s="1" t="s">
        <v>57</v>
      </c>
      <c r="B10" s="1">
        <v>66</v>
      </c>
      <c r="C10" s="1" t="s">
        <v>60</v>
      </c>
      <c r="D10" s="1" t="s">
        <v>19</v>
      </c>
      <c r="E10" s="1">
        <v>2022</v>
      </c>
      <c r="F10" s="1" t="s">
        <v>27</v>
      </c>
      <c r="G10" s="1" t="s">
        <v>38</v>
      </c>
      <c r="H10" s="1">
        <v>24295</v>
      </c>
      <c r="I10" s="1">
        <v>48</v>
      </c>
      <c r="J10" s="1">
        <v>1</v>
      </c>
      <c r="K10" s="1">
        <v>2</v>
      </c>
      <c r="L10" s="1" t="s">
        <v>29</v>
      </c>
      <c r="M10" s="1">
        <v>423</v>
      </c>
      <c r="N10" s="1" t="s">
        <v>22</v>
      </c>
      <c r="O10" s="1" t="s">
        <v>36</v>
      </c>
      <c r="P10" s="1">
        <v>0</v>
      </c>
      <c r="Q10" s="1" t="s">
        <v>58</v>
      </c>
      <c r="R10" t="str">
        <f t="shared" si="0"/>
        <v>N</v>
      </c>
    </row>
    <row r="11" spans="1:18" x14ac:dyDescent="0.3">
      <c r="A11" s="2" t="s">
        <v>59</v>
      </c>
      <c r="B11" s="2">
        <v>19</v>
      </c>
      <c r="C11" s="2" t="s">
        <v>60</v>
      </c>
      <c r="D11" s="2" t="s">
        <v>19</v>
      </c>
      <c r="E11" s="2">
        <v>2018</v>
      </c>
      <c r="F11" s="2" t="s">
        <v>65</v>
      </c>
      <c r="G11" s="2" t="s">
        <v>61</v>
      </c>
      <c r="H11" s="2">
        <v>5326</v>
      </c>
      <c r="I11" s="2">
        <v>3</v>
      </c>
      <c r="J11" s="2">
        <v>0</v>
      </c>
      <c r="K11" s="2">
        <v>0</v>
      </c>
      <c r="L11" s="2" t="s">
        <v>35</v>
      </c>
      <c r="M11" s="2">
        <v>638</v>
      </c>
      <c r="N11" s="2" t="s">
        <v>22</v>
      </c>
      <c r="O11" s="2" t="s">
        <v>62</v>
      </c>
      <c r="P11" s="2">
        <v>500</v>
      </c>
      <c r="Q11" s="2" t="s">
        <v>63</v>
      </c>
      <c r="R11" t="str">
        <f t="shared" si="0"/>
        <v>Y</v>
      </c>
    </row>
    <row r="12" spans="1:18" x14ac:dyDescent="0.3">
      <c r="A12" s="1" t="s">
        <v>64</v>
      </c>
      <c r="B12" s="1">
        <v>60</v>
      </c>
      <c r="C12" s="1" t="s">
        <v>60</v>
      </c>
      <c r="D12" s="1" t="s">
        <v>19</v>
      </c>
      <c r="E12" s="1">
        <v>2017</v>
      </c>
      <c r="F12" s="1" t="s">
        <v>65</v>
      </c>
      <c r="G12" s="1" t="s">
        <v>66</v>
      </c>
      <c r="H12" s="1">
        <v>21711</v>
      </c>
      <c r="I12" s="1">
        <v>40</v>
      </c>
      <c r="J12" s="1">
        <v>1</v>
      </c>
      <c r="K12" s="1">
        <v>0</v>
      </c>
      <c r="L12" s="1" t="s">
        <v>29</v>
      </c>
      <c r="M12" s="1">
        <v>716</v>
      </c>
      <c r="N12" s="1" t="s">
        <v>22</v>
      </c>
      <c r="O12" s="1" t="s">
        <v>67</v>
      </c>
      <c r="P12" s="1">
        <v>0</v>
      </c>
      <c r="Q12" s="1" t="s">
        <v>48</v>
      </c>
      <c r="R12" t="str">
        <f t="shared" si="0"/>
        <v>N</v>
      </c>
    </row>
    <row r="13" spans="1:18" x14ac:dyDescent="0.3">
      <c r="A13" s="2" t="s">
        <v>68</v>
      </c>
      <c r="B13" s="2">
        <v>40</v>
      </c>
      <c r="C13" s="2" t="s">
        <v>60</v>
      </c>
      <c r="D13" s="2" t="s">
        <v>26</v>
      </c>
      <c r="E13" s="2">
        <v>2014</v>
      </c>
      <c r="F13" s="2" t="s">
        <v>69</v>
      </c>
      <c r="G13" s="2" t="s">
        <v>70</v>
      </c>
      <c r="H13" s="2">
        <v>24412</v>
      </c>
      <c r="I13" s="2">
        <v>24</v>
      </c>
      <c r="J13" s="2">
        <v>0</v>
      </c>
      <c r="K13" s="2">
        <v>1</v>
      </c>
      <c r="L13" s="2" t="s">
        <v>29</v>
      </c>
      <c r="M13" s="2">
        <v>411</v>
      </c>
      <c r="N13" s="2" t="s">
        <v>22</v>
      </c>
      <c r="O13" s="2" t="s">
        <v>36</v>
      </c>
      <c r="P13" s="2">
        <v>500</v>
      </c>
      <c r="Q13" s="2" t="s">
        <v>44</v>
      </c>
      <c r="R13" t="str">
        <f t="shared" si="0"/>
        <v>Y</v>
      </c>
    </row>
    <row r="14" spans="1:18" x14ac:dyDescent="0.3">
      <c r="A14" s="1" t="s">
        <v>71</v>
      </c>
      <c r="B14" s="1">
        <v>46</v>
      </c>
      <c r="C14" s="1" t="s">
        <v>18</v>
      </c>
      <c r="D14" s="1" t="s">
        <v>26</v>
      </c>
      <c r="E14" s="1">
        <v>2005</v>
      </c>
      <c r="F14" s="1" t="s">
        <v>27</v>
      </c>
      <c r="G14" s="1" t="s">
        <v>38</v>
      </c>
      <c r="H14" s="1">
        <v>11185</v>
      </c>
      <c r="I14" s="1">
        <v>30</v>
      </c>
      <c r="J14" s="1">
        <v>1</v>
      </c>
      <c r="K14" s="1">
        <v>2</v>
      </c>
      <c r="L14" s="1" t="s">
        <v>35</v>
      </c>
      <c r="M14" s="1">
        <v>351</v>
      </c>
      <c r="N14" s="1" t="s">
        <v>39</v>
      </c>
      <c r="O14" s="1" t="s">
        <v>62</v>
      </c>
      <c r="P14" s="1">
        <v>0</v>
      </c>
      <c r="Q14" s="1" t="s">
        <v>37</v>
      </c>
      <c r="R14" t="str">
        <f t="shared" si="0"/>
        <v>N</v>
      </c>
    </row>
    <row r="15" spans="1:18" x14ac:dyDescent="0.3">
      <c r="A15" s="2" t="s">
        <v>72</v>
      </c>
      <c r="B15" s="2">
        <v>66</v>
      </c>
      <c r="C15" s="2" t="s">
        <v>18</v>
      </c>
      <c r="D15" s="2" t="s">
        <v>19</v>
      </c>
      <c r="E15" s="2">
        <v>2013</v>
      </c>
      <c r="F15" s="2" t="s">
        <v>73</v>
      </c>
      <c r="G15" s="2" t="s">
        <v>74</v>
      </c>
      <c r="H15" s="2">
        <v>10004</v>
      </c>
      <c r="I15" s="2">
        <v>47</v>
      </c>
      <c r="J15" s="2">
        <v>0</v>
      </c>
      <c r="K15" s="2">
        <v>0</v>
      </c>
      <c r="L15" s="2" t="s">
        <v>29</v>
      </c>
      <c r="M15" s="2">
        <v>302</v>
      </c>
      <c r="N15" s="2" t="s">
        <v>75</v>
      </c>
      <c r="O15" s="2" t="s">
        <v>40</v>
      </c>
      <c r="P15" s="2">
        <v>15000</v>
      </c>
      <c r="Q15" s="2" t="s">
        <v>51</v>
      </c>
      <c r="R15" t="str">
        <f t="shared" si="0"/>
        <v>Y</v>
      </c>
    </row>
    <row r="16" spans="1:18" x14ac:dyDescent="0.3">
      <c r="A16" s="1" t="s">
        <v>76</v>
      </c>
      <c r="B16" s="1">
        <v>45</v>
      </c>
      <c r="C16" s="1" t="s">
        <v>60</v>
      </c>
      <c r="D16" s="1" t="s">
        <v>26</v>
      </c>
      <c r="E16" s="1">
        <v>2004</v>
      </c>
      <c r="F16" s="1" t="s">
        <v>65</v>
      </c>
      <c r="G16" s="1" t="s">
        <v>77</v>
      </c>
      <c r="H16" s="1">
        <v>10133</v>
      </c>
      <c r="I16" s="1">
        <v>29</v>
      </c>
      <c r="J16" s="1">
        <v>1</v>
      </c>
      <c r="K16" s="1">
        <v>3</v>
      </c>
      <c r="L16" s="1" t="s">
        <v>35</v>
      </c>
      <c r="M16" s="1">
        <v>362</v>
      </c>
      <c r="N16" s="1" t="s">
        <v>39</v>
      </c>
      <c r="O16" s="1" t="s">
        <v>30</v>
      </c>
      <c r="P16" s="1">
        <v>0</v>
      </c>
      <c r="Q16" s="1" t="s">
        <v>31</v>
      </c>
      <c r="R16" t="str">
        <f t="shared" si="0"/>
        <v>N</v>
      </c>
    </row>
    <row r="17" spans="1:18" x14ac:dyDescent="0.3">
      <c r="A17" s="2" t="s">
        <v>78</v>
      </c>
      <c r="B17" s="2">
        <v>55</v>
      </c>
      <c r="C17" s="2" t="s">
        <v>60</v>
      </c>
      <c r="D17" s="2" t="s">
        <v>19</v>
      </c>
      <c r="E17" s="2">
        <v>2001</v>
      </c>
      <c r="F17" s="2" t="s">
        <v>79</v>
      </c>
      <c r="G17" s="2" t="s">
        <v>56</v>
      </c>
      <c r="H17" s="2">
        <v>9089</v>
      </c>
      <c r="I17" s="2">
        <v>39</v>
      </c>
      <c r="J17" s="2">
        <v>1</v>
      </c>
      <c r="K17" s="2">
        <v>0</v>
      </c>
      <c r="L17" s="2" t="s">
        <v>35</v>
      </c>
      <c r="M17" s="2">
        <v>713</v>
      </c>
      <c r="N17" s="2" t="s">
        <v>22</v>
      </c>
      <c r="O17" s="2" t="s">
        <v>432</v>
      </c>
      <c r="P17" s="2">
        <v>500</v>
      </c>
      <c r="Q17" s="2" t="s">
        <v>80</v>
      </c>
      <c r="R17" t="str">
        <f t="shared" si="0"/>
        <v>Y</v>
      </c>
    </row>
    <row r="18" spans="1:18" x14ac:dyDescent="0.3">
      <c r="A18" s="1" t="s">
        <v>81</v>
      </c>
      <c r="B18" s="1">
        <v>56</v>
      </c>
      <c r="C18" s="1" t="s">
        <v>18</v>
      </c>
      <c r="D18" s="1" t="s">
        <v>33</v>
      </c>
      <c r="E18" s="1">
        <v>2013</v>
      </c>
      <c r="F18" s="1" t="s">
        <v>20</v>
      </c>
      <c r="G18" s="1" t="s">
        <v>50</v>
      </c>
      <c r="H18" s="1">
        <v>11544</v>
      </c>
      <c r="I18" s="1">
        <v>39</v>
      </c>
      <c r="J18" s="1">
        <v>2</v>
      </c>
      <c r="K18" s="1">
        <v>3</v>
      </c>
      <c r="L18" s="1" t="s">
        <v>29</v>
      </c>
      <c r="M18" s="1">
        <v>544</v>
      </c>
      <c r="N18" s="1" t="s">
        <v>75</v>
      </c>
      <c r="O18" s="1" t="s">
        <v>431</v>
      </c>
      <c r="P18" s="1">
        <v>0</v>
      </c>
      <c r="Q18" s="1" t="s">
        <v>51</v>
      </c>
      <c r="R18" t="str">
        <f t="shared" si="0"/>
        <v>N</v>
      </c>
    </row>
    <row r="19" spans="1:18" x14ac:dyDescent="0.3">
      <c r="A19" s="2" t="s">
        <v>82</v>
      </c>
      <c r="B19" s="2">
        <v>47</v>
      </c>
      <c r="C19" s="2" t="s">
        <v>18</v>
      </c>
      <c r="D19" s="2" t="s">
        <v>33</v>
      </c>
      <c r="E19" s="2">
        <v>2000</v>
      </c>
      <c r="F19" s="2" t="s">
        <v>73</v>
      </c>
      <c r="G19" s="2" t="s">
        <v>83</v>
      </c>
      <c r="H19" s="2">
        <v>21448</v>
      </c>
      <c r="I19" s="2">
        <v>31</v>
      </c>
      <c r="J19" s="2">
        <v>0</v>
      </c>
      <c r="K19" s="2">
        <v>2</v>
      </c>
      <c r="L19" s="2" t="s">
        <v>35</v>
      </c>
      <c r="M19" s="2">
        <v>818</v>
      </c>
      <c r="N19" s="2" t="s">
        <v>75</v>
      </c>
      <c r="O19" s="2" t="s">
        <v>43</v>
      </c>
      <c r="P19" s="2">
        <v>3000</v>
      </c>
      <c r="Q19" s="2" t="s">
        <v>37</v>
      </c>
      <c r="R19" t="str">
        <f t="shared" si="0"/>
        <v>Y</v>
      </c>
    </row>
    <row r="20" spans="1:18" x14ac:dyDescent="0.3">
      <c r="A20" s="1" t="s">
        <v>84</v>
      </c>
      <c r="B20" s="1">
        <v>74</v>
      </c>
      <c r="C20" s="1" t="s">
        <v>18</v>
      </c>
      <c r="D20" s="1" t="s">
        <v>85</v>
      </c>
      <c r="E20" s="1">
        <v>2009</v>
      </c>
      <c r="F20" s="1" t="s">
        <v>65</v>
      </c>
      <c r="G20" s="1" t="s">
        <v>77</v>
      </c>
      <c r="H20" s="1">
        <v>20800</v>
      </c>
      <c r="I20" s="1">
        <v>56</v>
      </c>
      <c r="J20" s="1">
        <v>1</v>
      </c>
      <c r="K20" s="1">
        <v>3</v>
      </c>
      <c r="L20" s="1" t="s">
        <v>35</v>
      </c>
      <c r="M20" s="1">
        <v>308</v>
      </c>
      <c r="N20" s="1" t="s">
        <v>39</v>
      </c>
      <c r="O20" s="1" t="s">
        <v>62</v>
      </c>
      <c r="P20" s="1">
        <v>1200</v>
      </c>
      <c r="Q20" s="1" t="s">
        <v>86</v>
      </c>
      <c r="R20" t="str">
        <f t="shared" si="0"/>
        <v>Y</v>
      </c>
    </row>
    <row r="21" spans="1:18" x14ac:dyDescent="0.3">
      <c r="A21" s="2" t="s">
        <v>87</v>
      </c>
      <c r="B21" s="2">
        <v>74</v>
      </c>
      <c r="C21" s="2" t="s">
        <v>18</v>
      </c>
      <c r="D21" s="2" t="s">
        <v>85</v>
      </c>
      <c r="E21" s="2">
        <v>2003</v>
      </c>
      <c r="F21" s="2" t="s">
        <v>69</v>
      </c>
      <c r="G21" s="2" t="s">
        <v>88</v>
      </c>
      <c r="H21" s="2">
        <v>11924</v>
      </c>
      <c r="I21" s="2">
        <v>56</v>
      </c>
      <c r="J21" s="2">
        <v>1</v>
      </c>
      <c r="K21" s="2">
        <v>0</v>
      </c>
      <c r="L21" s="2" t="s">
        <v>29</v>
      </c>
      <c r="M21" s="2">
        <v>508</v>
      </c>
      <c r="N21" s="2" t="s">
        <v>39</v>
      </c>
      <c r="O21" s="2" t="s">
        <v>40</v>
      </c>
      <c r="P21" s="2">
        <v>15000</v>
      </c>
      <c r="Q21" s="2" t="s">
        <v>63</v>
      </c>
      <c r="R21" t="str">
        <f t="shared" si="0"/>
        <v>Y</v>
      </c>
    </row>
    <row r="22" spans="1:18" x14ac:dyDescent="0.3">
      <c r="A22" s="1" t="s">
        <v>89</v>
      </c>
      <c r="B22" s="1">
        <v>75</v>
      </c>
      <c r="C22" s="1" t="s">
        <v>18</v>
      </c>
      <c r="D22" s="1" t="s">
        <v>33</v>
      </c>
      <c r="E22" s="1">
        <v>2020</v>
      </c>
      <c r="F22" s="1" t="s">
        <v>46</v>
      </c>
      <c r="G22" s="1" t="s">
        <v>47</v>
      </c>
      <c r="H22" s="1">
        <v>4444</v>
      </c>
      <c r="I22" s="1">
        <v>59</v>
      </c>
      <c r="J22" s="1">
        <v>0</v>
      </c>
      <c r="K22" s="1">
        <v>0</v>
      </c>
      <c r="L22" s="1" t="s">
        <v>29</v>
      </c>
      <c r="M22" s="1">
        <v>465</v>
      </c>
      <c r="N22" s="1" t="s">
        <v>39</v>
      </c>
      <c r="O22" s="1" t="s">
        <v>23</v>
      </c>
      <c r="P22" s="1">
        <v>7500</v>
      </c>
      <c r="Q22" s="1" t="s">
        <v>44</v>
      </c>
      <c r="R22" t="str">
        <f t="shared" si="0"/>
        <v>Y</v>
      </c>
    </row>
    <row r="23" spans="1:18" x14ac:dyDescent="0.3">
      <c r="A23" s="2" t="s">
        <v>91</v>
      </c>
      <c r="B23" s="2">
        <v>75</v>
      </c>
      <c r="C23" s="2" t="s">
        <v>18</v>
      </c>
      <c r="D23" s="2" t="s">
        <v>85</v>
      </c>
      <c r="E23" s="2">
        <v>2006</v>
      </c>
      <c r="F23" s="2" t="s">
        <v>65</v>
      </c>
      <c r="G23" s="2" t="s">
        <v>61</v>
      </c>
      <c r="H23" s="2">
        <v>14589</v>
      </c>
      <c r="I23" s="2">
        <v>55</v>
      </c>
      <c r="J23" s="2">
        <v>1</v>
      </c>
      <c r="K23" s="2">
        <v>2</v>
      </c>
      <c r="L23" s="2" t="s">
        <v>35</v>
      </c>
      <c r="M23" s="2">
        <v>542</v>
      </c>
      <c r="N23" s="2" t="s">
        <v>22</v>
      </c>
      <c r="O23" s="2" t="s">
        <v>43</v>
      </c>
      <c r="P23" s="2">
        <v>7500</v>
      </c>
      <c r="Q23" s="2" t="s">
        <v>24</v>
      </c>
      <c r="R23" t="str">
        <f t="shared" si="0"/>
        <v>Y</v>
      </c>
    </row>
    <row r="24" spans="1:18" x14ac:dyDescent="0.3">
      <c r="A24" s="1" t="s">
        <v>92</v>
      </c>
      <c r="B24" s="1">
        <v>29</v>
      </c>
      <c r="C24" s="1" t="s">
        <v>60</v>
      </c>
      <c r="D24" s="1" t="s">
        <v>85</v>
      </c>
      <c r="E24" s="1">
        <v>2013</v>
      </c>
      <c r="F24" s="1" t="s">
        <v>65</v>
      </c>
      <c r="G24" s="1" t="s">
        <v>77</v>
      </c>
      <c r="H24" s="1">
        <v>8216</v>
      </c>
      <c r="I24" s="1">
        <v>13</v>
      </c>
      <c r="J24" s="1">
        <v>1</v>
      </c>
      <c r="K24" s="1">
        <v>0</v>
      </c>
      <c r="L24" s="1" t="s">
        <v>29</v>
      </c>
      <c r="M24" s="1">
        <v>527</v>
      </c>
      <c r="N24" s="1" t="s">
        <v>22</v>
      </c>
      <c r="O24" s="1" t="s">
        <v>23</v>
      </c>
      <c r="P24" s="1">
        <v>3000</v>
      </c>
      <c r="Q24" s="1" t="s">
        <v>51</v>
      </c>
      <c r="R24" t="str">
        <f t="shared" si="0"/>
        <v>Y</v>
      </c>
    </row>
    <row r="25" spans="1:18" x14ac:dyDescent="0.3">
      <c r="A25" s="2" t="s">
        <v>93</v>
      </c>
      <c r="B25" s="2">
        <v>70</v>
      </c>
      <c r="C25" s="2" t="s">
        <v>18</v>
      </c>
      <c r="D25" s="2" t="s">
        <v>19</v>
      </c>
      <c r="E25" s="2">
        <v>2000</v>
      </c>
      <c r="F25" s="2" t="s">
        <v>65</v>
      </c>
      <c r="G25" s="2" t="s">
        <v>77</v>
      </c>
      <c r="H25" s="2">
        <v>13756</v>
      </c>
      <c r="I25" s="2">
        <v>52</v>
      </c>
      <c r="J25" s="2">
        <v>0</v>
      </c>
      <c r="K25" s="2">
        <v>1</v>
      </c>
      <c r="L25" s="2" t="s">
        <v>29</v>
      </c>
      <c r="M25" s="2">
        <v>821</v>
      </c>
      <c r="N25" s="2" t="s">
        <v>75</v>
      </c>
      <c r="O25" s="2" t="s">
        <v>62</v>
      </c>
      <c r="P25" s="2">
        <v>3000</v>
      </c>
      <c r="Q25" s="2" t="s">
        <v>24</v>
      </c>
      <c r="R25" t="str">
        <f t="shared" si="0"/>
        <v>Y</v>
      </c>
    </row>
    <row r="26" spans="1:18" x14ac:dyDescent="0.3">
      <c r="A26" s="1" t="s">
        <v>94</v>
      </c>
      <c r="B26" s="1">
        <v>25</v>
      </c>
      <c r="C26" s="1" t="s">
        <v>18</v>
      </c>
      <c r="D26" s="1" t="s">
        <v>19</v>
      </c>
      <c r="E26" s="1">
        <v>2018</v>
      </c>
      <c r="F26" s="1" t="s">
        <v>27</v>
      </c>
      <c r="G26" s="1" t="s">
        <v>28</v>
      </c>
      <c r="H26" s="1">
        <v>6552</v>
      </c>
      <c r="I26" s="1">
        <v>5</v>
      </c>
      <c r="J26" s="1">
        <v>1</v>
      </c>
      <c r="K26" s="1">
        <v>1</v>
      </c>
      <c r="L26" s="1" t="s">
        <v>29</v>
      </c>
      <c r="M26" s="1">
        <v>746</v>
      </c>
      <c r="N26" s="1" t="s">
        <v>39</v>
      </c>
      <c r="O26" s="1" t="s">
        <v>62</v>
      </c>
      <c r="P26" s="1">
        <v>0</v>
      </c>
      <c r="Q26" s="1" t="s">
        <v>95</v>
      </c>
      <c r="R26" t="str">
        <f t="shared" si="0"/>
        <v>N</v>
      </c>
    </row>
    <row r="27" spans="1:18" x14ac:dyDescent="0.3">
      <c r="A27" s="2" t="s">
        <v>96</v>
      </c>
      <c r="B27" s="2">
        <v>75</v>
      </c>
      <c r="C27" s="2" t="s">
        <v>60</v>
      </c>
      <c r="D27" s="2" t="s">
        <v>19</v>
      </c>
      <c r="E27" s="2">
        <v>2008</v>
      </c>
      <c r="F27" s="2" t="s">
        <v>69</v>
      </c>
      <c r="G27" s="2" t="s">
        <v>70</v>
      </c>
      <c r="H27" s="2">
        <v>17288</v>
      </c>
      <c r="I27" s="2">
        <v>59</v>
      </c>
      <c r="J27" s="2">
        <v>1</v>
      </c>
      <c r="K27" s="2">
        <v>2</v>
      </c>
      <c r="L27" s="2" t="s">
        <v>35</v>
      </c>
      <c r="M27" s="2">
        <v>672</v>
      </c>
      <c r="N27" s="2" t="s">
        <v>75</v>
      </c>
      <c r="O27" s="2" t="s">
        <v>67</v>
      </c>
      <c r="P27" s="2">
        <v>3000</v>
      </c>
      <c r="Q27" s="2" t="s">
        <v>41</v>
      </c>
      <c r="R27" t="str">
        <f t="shared" si="0"/>
        <v>Y</v>
      </c>
    </row>
    <row r="28" spans="1:18" x14ac:dyDescent="0.3">
      <c r="A28" s="1" t="s">
        <v>97</v>
      </c>
      <c r="B28" s="1">
        <v>38</v>
      </c>
      <c r="C28" s="1" t="s">
        <v>60</v>
      </c>
      <c r="D28" s="1" t="s">
        <v>33</v>
      </c>
      <c r="E28" s="1">
        <v>2023</v>
      </c>
      <c r="F28" s="1" t="s">
        <v>27</v>
      </c>
      <c r="G28" s="1" t="s">
        <v>53</v>
      </c>
      <c r="H28" s="1">
        <v>13134</v>
      </c>
      <c r="I28" s="1">
        <v>19</v>
      </c>
      <c r="J28" s="1">
        <v>0</v>
      </c>
      <c r="K28" s="1">
        <v>1</v>
      </c>
      <c r="L28" s="1" t="s">
        <v>29</v>
      </c>
      <c r="M28" s="1">
        <v>430</v>
      </c>
      <c r="N28" s="1" t="s">
        <v>22</v>
      </c>
      <c r="O28" s="1" t="s">
        <v>431</v>
      </c>
      <c r="P28" s="1">
        <v>7500</v>
      </c>
      <c r="Q28" s="1" t="s">
        <v>98</v>
      </c>
      <c r="R28" t="str">
        <f t="shared" si="0"/>
        <v>Y</v>
      </c>
    </row>
    <row r="29" spans="1:18" x14ac:dyDescent="0.3">
      <c r="A29" s="2" t="s">
        <v>100</v>
      </c>
      <c r="B29" s="2">
        <v>50</v>
      </c>
      <c r="C29" s="2" t="s">
        <v>60</v>
      </c>
      <c r="D29" s="2" t="s">
        <v>19</v>
      </c>
      <c r="E29" s="2">
        <v>2021</v>
      </c>
      <c r="F29" s="2" t="s">
        <v>69</v>
      </c>
      <c r="G29" s="2" t="s">
        <v>34</v>
      </c>
      <c r="H29" s="2">
        <v>19890</v>
      </c>
      <c r="I29" s="2">
        <v>30</v>
      </c>
      <c r="J29" s="2">
        <v>0</v>
      </c>
      <c r="K29" s="2">
        <v>0</v>
      </c>
      <c r="L29" s="2" t="s">
        <v>35</v>
      </c>
      <c r="M29" s="2">
        <v>617</v>
      </c>
      <c r="N29" s="2" t="s">
        <v>22</v>
      </c>
      <c r="O29" s="2" t="s">
        <v>36</v>
      </c>
      <c r="P29" s="2">
        <v>0</v>
      </c>
      <c r="Q29" s="2" t="s">
        <v>24</v>
      </c>
      <c r="R29" t="str">
        <f t="shared" si="0"/>
        <v>N</v>
      </c>
    </row>
    <row r="30" spans="1:18" x14ac:dyDescent="0.3">
      <c r="A30" s="1" t="s">
        <v>101</v>
      </c>
      <c r="B30" s="1">
        <v>20</v>
      </c>
      <c r="C30" s="1" t="s">
        <v>18</v>
      </c>
      <c r="D30" s="1" t="s">
        <v>26</v>
      </c>
      <c r="E30" s="1">
        <v>2019</v>
      </c>
      <c r="F30" s="1" t="s">
        <v>69</v>
      </c>
      <c r="G30" s="1" t="s">
        <v>34</v>
      </c>
      <c r="H30" s="1">
        <v>16580</v>
      </c>
      <c r="I30" s="1">
        <v>0</v>
      </c>
      <c r="J30" s="1">
        <v>0</v>
      </c>
      <c r="K30" s="1">
        <v>3</v>
      </c>
      <c r="L30" s="1" t="s">
        <v>29</v>
      </c>
      <c r="M30" s="1">
        <v>806</v>
      </c>
      <c r="N30" s="1" t="s">
        <v>75</v>
      </c>
      <c r="O30" s="1" t="s">
        <v>36</v>
      </c>
      <c r="P30" s="1">
        <v>0</v>
      </c>
      <c r="Q30" s="1" t="s">
        <v>24</v>
      </c>
      <c r="R30" t="str">
        <f t="shared" si="0"/>
        <v>N</v>
      </c>
    </row>
    <row r="31" spans="1:18" x14ac:dyDescent="0.3">
      <c r="A31" s="2" t="s">
        <v>102</v>
      </c>
      <c r="B31" s="2">
        <v>75</v>
      </c>
      <c r="C31" s="2" t="s">
        <v>18</v>
      </c>
      <c r="D31" s="2" t="s">
        <v>26</v>
      </c>
      <c r="E31" s="2">
        <v>2007</v>
      </c>
      <c r="F31" s="2" t="s">
        <v>65</v>
      </c>
      <c r="G31" s="2" t="s">
        <v>66</v>
      </c>
      <c r="H31" s="2">
        <v>19972</v>
      </c>
      <c r="I31" s="2">
        <v>56</v>
      </c>
      <c r="J31" s="2">
        <v>0</v>
      </c>
      <c r="K31" s="2">
        <v>2</v>
      </c>
      <c r="L31" s="2" t="s">
        <v>35</v>
      </c>
      <c r="M31" s="2">
        <v>424</v>
      </c>
      <c r="N31" s="2" t="s">
        <v>75</v>
      </c>
      <c r="O31" s="2" t="s">
        <v>43</v>
      </c>
      <c r="P31" s="2">
        <v>15000</v>
      </c>
      <c r="Q31" s="2" t="s">
        <v>103</v>
      </c>
      <c r="R31" t="str">
        <f t="shared" si="0"/>
        <v>Y</v>
      </c>
    </row>
    <row r="32" spans="1:18" x14ac:dyDescent="0.3">
      <c r="A32" s="1" t="s">
        <v>104</v>
      </c>
      <c r="B32" s="1">
        <v>53</v>
      </c>
      <c r="C32" s="1" t="s">
        <v>60</v>
      </c>
      <c r="D32" s="1" t="s">
        <v>85</v>
      </c>
      <c r="E32" s="1">
        <v>2024</v>
      </c>
      <c r="F32" s="1" t="s">
        <v>73</v>
      </c>
      <c r="G32" s="1" t="s">
        <v>83</v>
      </c>
      <c r="H32" s="1">
        <v>19540</v>
      </c>
      <c r="I32" s="1">
        <v>34</v>
      </c>
      <c r="J32" s="1">
        <v>1</v>
      </c>
      <c r="K32" s="1">
        <v>1</v>
      </c>
      <c r="L32" s="1" t="s">
        <v>35</v>
      </c>
      <c r="M32" s="1">
        <v>786</v>
      </c>
      <c r="N32" s="1" t="s">
        <v>75</v>
      </c>
      <c r="O32" s="1" t="s">
        <v>40</v>
      </c>
      <c r="P32" s="1">
        <v>500</v>
      </c>
      <c r="Q32" s="1" t="s">
        <v>63</v>
      </c>
      <c r="R32" t="str">
        <f t="shared" si="0"/>
        <v>Y</v>
      </c>
    </row>
    <row r="33" spans="1:18" x14ac:dyDescent="0.3">
      <c r="A33" s="2" t="s">
        <v>106</v>
      </c>
      <c r="B33" s="2">
        <v>27</v>
      </c>
      <c r="C33" s="2" t="s">
        <v>18</v>
      </c>
      <c r="D33" s="2" t="s">
        <v>26</v>
      </c>
      <c r="E33" s="2">
        <v>2022</v>
      </c>
      <c r="F33" s="2" t="s">
        <v>65</v>
      </c>
      <c r="G33" s="2" t="s">
        <v>66</v>
      </c>
      <c r="H33" s="2">
        <v>10010</v>
      </c>
      <c r="I33" s="2">
        <v>11</v>
      </c>
      <c r="J33" s="2">
        <v>1</v>
      </c>
      <c r="K33" s="2">
        <v>1</v>
      </c>
      <c r="L33" s="2" t="s">
        <v>29</v>
      </c>
      <c r="M33" s="2">
        <v>777</v>
      </c>
      <c r="N33" s="2" t="s">
        <v>75</v>
      </c>
      <c r="O33" s="2" t="s">
        <v>90</v>
      </c>
      <c r="P33" s="2">
        <v>500</v>
      </c>
      <c r="Q33" s="2" t="s">
        <v>48</v>
      </c>
      <c r="R33" t="str">
        <f t="shared" si="0"/>
        <v>Y</v>
      </c>
    </row>
    <row r="34" spans="1:18" x14ac:dyDescent="0.3">
      <c r="A34" s="1" t="s">
        <v>107</v>
      </c>
      <c r="B34" s="1">
        <v>42</v>
      </c>
      <c r="C34" s="1" t="s">
        <v>60</v>
      </c>
      <c r="D34" s="1" t="s">
        <v>33</v>
      </c>
      <c r="E34" s="1">
        <v>2024</v>
      </c>
      <c r="F34" s="1" t="s">
        <v>20</v>
      </c>
      <c r="G34" s="1" t="s">
        <v>50</v>
      </c>
      <c r="H34" s="1">
        <v>18629</v>
      </c>
      <c r="I34" s="1">
        <v>26</v>
      </c>
      <c r="J34" s="1">
        <v>0</v>
      </c>
      <c r="K34" s="1">
        <v>1</v>
      </c>
      <c r="L34" s="1" t="s">
        <v>29</v>
      </c>
      <c r="M34" s="1">
        <v>729</v>
      </c>
      <c r="N34" s="1" t="s">
        <v>39</v>
      </c>
      <c r="O34" s="1" t="s">
        <v>62</v>
      </c>
      <c r="P34" s="1">
        <v>500</v>
      </c>
      <c r="Q34" s="1" t="s">
        <v>108</v>
      </c>
      <c r="R34" t="str">
        <f t="shared" si="0"/>
        <v>Y</v>
      </c>
    </row>
    <row r="35" spans="1:18" x14ac:dyDescent="0.3">
      <c r="A35" s="2" t="s">
        <v>109</v>
      </c>
      <c r="B35" s="2">
        <v>55</v>
      </c>
      <c r="C35" s="2" t="s">
        <v>60</v>
      </c>
      <c r="D35" s="2" t="s">
        <v>33</v>
      </c>
      <c r="E35" s="2">
        <v>2002</v>
      </c>
      <c r="F35" s="2" t="s">
        <v>46</v>
      </c>
      <c r="G35" s="2" t="s">
        <v>110</v>
      </c>
      <c r="H35" s="2">
        <v>18128</v>
      </c>
      <c r="I35" s="2">
        <v>38</v>
      </c>
      <c r="J35" s="2">
        <v>0</v>
      </c>
      <c r="K35" s="2">
        <v>1</v>
      </c>
      <c r="L35" s="2" t="s">
        <v>29</v>
      </c>
      <c r="M35" s="2">
        <v>635</v>
      </c>
      <c r="N35" s="2" t="s">
        <v>22</v>
      </c>
      <c r="O35" s="2" t="s">
        <v>23</v>
      </c>
      <c r="P35" s="2">
        <v>3000</v>
      </c>
      <c r="Q35" s="2" t="s">
        <v>58</v>
      </c>
      <c r="R35" t="str">
        <f t="shared" si="0"/>
        <v>Y</v>
      </c>
    </row>
    <row r="36" spans="1:18" x14ac:dyDescent="0.3">
      <c r="A36" s="1" t="s">
        <v>111</v>
      </c>
      <c r="B36" s="1">
        <v>66</v>
      </c>
      <c r="C36" s="1" t="s">
        <v>60</v>
      </c>
      <c r="D36" s="1" t="s">
        <v>85</v>
      </c>
      <c r="E36" s="1">
        <v>2024</v>
      </c>
      <c r="F36" s="1" t="s">
        <v>46</v>
      </c>
      <c r="G36" s="1" t="s">
        <v>47</v>
      </c>
      <c r="H36" s="1">
        <v>5683</v>
      </c>
      <c r="I36" s="1">
        <v>47</v>
      </c>
      <c r="J36" s="1">
        <v>0</v>
      </c>
      <c r="K36" s="1">
        <v>3</v>
      </c>
      <c r="L36" s="1" t="s">
        <v>35</v>
      </c>
      <c r="M36" s="1">
        <v>353</v>
      </c>
      <c r="N36" s="1" t="s">
        <v>75</v>
      </c>
      <c r="O36" s="1" t="s">
        <v>36</v>
      </c>
      <c r="P36" s="1">
        <v>0</v>
      </c>
      <c r="Q36" s="1" t="s">
        <v>112</v>
      </c>
      <c r="R36" t="str">
        <f t="shared" si="0"/>
        <v>N</v>
      </c>
    </row>
    <row r="37" spans="1:18" x14ac:dyDescent="0.3">
      <c r="A37" s="2" t="s">
        <v>113</v>
      </c>
      <c r="B37" s="2">
        <v>66</v>
      </c>
      <c r="C37" s="2" t="s">
        <v>18</v>
      </c>
      <c r="D37" s="2" t="s">
        <v>19</v>
      </c>
      <c r="E37" s="2">
        <v>2006</v>
      </c>
      <c r="F37" s="2" t="s">
        <v>69</v>
      </c>
      <c r="G37" s="2" t="s">
        <v>70</v>
      </c>
      <c r="H37" s="2">
        <v>7993</v>
      </c>
      <c r="I37" s="2">
        <v>49</v>
      </c>
      <c r="J37" s="2">
        <v>0</v>
      </c>
      <c r="K37" s="2">
        <v>1</v>
      </c>
      <c r="L37" s="2" t="s">
        <v>35</v>
      </c>
      <c r="M37" s="2">
        <v>523</v>
      </c>
      <c r="N37" s="2" t="s">
        <v>75</v>
      </c>
      <c r="O37" s="2" t="s">
        <v>40</v>
      </c>
      <c r="P37" s="2">
        <v>3000</v>
      </c>
      <c r="Q37" s="2" t="s">
        <v>98</v>
      </c>
      <c r="R37" t="str">
        <f t="shared" si="0"/>
        <v>Y</v>
      </c>
    </row>
    <row r="38" spans="1:18" x14ac:dyDescent="0.3">
      <c r="A38" s="1" t="s">
        <v>114</v>
      </c>
      <c r="B38" s="1">
        <v>56</v>
      </c>
      <c r="C38" s="1" t="s">
        <v>60</v>
      </c>
      <c r="D38" s="1" t="s">
        <v>33</v>
      </c>
      <c r="E38" s="1">
        <v>2024</v>
      </c>
      <c r="F38" s="1" t="s">
        <v>65</v>
      </c>
      <c r="G38" s="1" t="s">
        <v>77</v>
      </c>
      <c r="H38" s="1">
        <v>6542</v>
      </c>
      <c r="I38" s="1">
        <v>36</v>
      </c>
      <c r="J38" s="1">
        <v>0</v>
      </c>
      <c r="K38" s="1">
        <v>1</v>
      </c>
      <c r="L38" s="1" t="s">
        <v>35</v>
      </c>
      <c r="M38" s="1">
        <v>684</v>
      </c>
      <c r="N38" s="1" t="s">
        <v>75</v>
      </c>
      <c r="O38" s="1" t="s">
        <v>36</v>
      </c>
      <c r="P38" s="1">
        <v>0</v>
      </c>
      <c r="Q38" s="1" t="s">
        <v>80</v>
      </c>
      <c r="R38" t="str">
        <f t="shared" si="0"/>
        <v>N</v>
      </c>
    </row>
    <row r="39" spans="1:18" x14ac:dyDescent="0.3">
      <c r="A39" s="2" t="s">
        <v>115</v>
      </c>
      <c r="B39" s="2">
        <v>62</v>
      </c>
      <c r="C39" s="2" t="s">
        <v>60</v>
      </c>
      <c r="D39" s="2" t="s">
        <v>19</v>
      </c>
      <c r="E39" s="2">
        <v>2003</v>
      </c>
      <c r="F39" s="2" t="s">
        <v>27</v>
      </c>
      <c r="G39" s="2" t="s">
        <v>53</v>
      </c>
      <c r="H39" s="2">
        <v>22674</v>
      </c>
      <c r="I39" s="2">
        <v>46</v>
      </c>
      <c r="J39" s="2">
        <v>1</v>
      </c>
      <c r="K39" s="2">
        <v>0</v>
      </c>
      <c r="L39" s="2" t="s">
        <v>29</v>
      </c>
      <c r="M39" s="2">
        <v>845</v>
      </c>
      <c r="N39" s="2" t="s">
        <v>75</v>
      </c>
      <c r="O39" s="2" t="s">
        <v>30</v>
      </c>
      <c r="P39" s="2">
        <v>0</v>
      </c>
      <c r="Q39" s="2" t="s">
        <v>103</v>
      </c>
      <c r="R39" t="str">
        <f t="shared" si="0"/>
        <v>N</v>
      </c>
    </row>
    <row r="40" spans="1:18" x14ac:dyDescent="0.3">
      <c r="A40" s="1" t="s">
        <v>116</v>
      </c>
      <c r="B40" s="1">
        <v>59</v>
      </c>
      <c r="C40" s="1" t="s">
        <v>18</v>
      </c>
      <c r="D40" s="1" t="s">
        <v>33</v>
      </c>
      <c r="E40" s="1">
        <v>2013</v>
      </c>
      <c r="F40" s="1" t="s">
        <v>73</v>
      </c>
      <c r="G40" s="1" t="s">
        <v>117</v>
      </c>
      <c r="H40" s="1">
        <v>17205</v>
      </c>
      <c r="I40" s="1">
        <v>41</v>
      </c>
      <c r="J40" s="1">
        <v>2</v>
      </c>
      <c r="K40" s="1">
        <v>1</v>
      </c>
      <c r="L40" s="1" t="s">
        <v>35</v>
      </c>
      <c r="M40" s="1">
        <v>745</v>
      </c>
      <c r="N40" s="1" t="s">
        <v>22</v>
      </c>
      <c r="O40" s="1" t="s">
        <v>62</v>
      </c>
      <c r="P40" s="1">
        <v>1200</v>
      </c>
      <c r="Q40" s="1" t="s">
        <v>41</v>
      </c>
      <c r="R40" t="str">
        <f t="shared" si="0"/>
        <v>Y</v>
      </c>
    </row>
    <row r="41" spans="1:18" x14ac:dyDescent="0.3">
      <c r="A41" s="2" t="s">
        <v>118</v>
      </c>
      <c r="B41" s="2">
        <v>69</v>
      </c>
      <c r="C41" s="2" t="s">
        <v>60</v>
      </c>
      <c r="D41" s="2" t="s">
        <v>26</v>
      </c>
      <c r="E41" s="2">
        <v>2014</v>
      </c>
      <c r="F41" s="2" t="s">
        <v>46</v>
      </c>
      <c r="G41" s="2" t="s">
        <v>400</v>
      </c>
      <c r="H41" s="2">
        <v>22414</v>
      </c>
      <c r="I41" s="2">
        <v>51</v>
      </c>
      <c r="J41" s="2">
        <v>0</v>
      </c>
      <c r="K41" s="2">
        <v>0</v>
      </c>
      <c r="L41" s="2" t="s">
        <v>35</v>
      </c>
      <c r="M41" s="2">
        <v>585</v>
      </c>
      <c r="N41" s="2" t="s">
        <v>75</v>
      </c>
      <c r="O41" s="2" t="s">
        <v>36</v>
      </c>
      <c r="P41" s="2">
        <v>15000</v>
      </c>
      <c r="Q41" s="2" t="s">
        <v>80</v>
      </c>
      <c r="R41" t="str">
        <f t="shared" si="0"/>
        <v>Y</v>
      </c>
    </row>
    <row r="42" spans="1:18" x14ac:dyDescent="0.3">
      <c r="A42" s="1" t="s">
        <v>119</v>
      </c>
      <c r="B42" s="1">
        <v>18</v>
      </c>
      <c r="C42" s="1" t="s">
        <v>60</v>
      </c>
      <c r="D42" s="1" t="s">
        <v>19</v>
      </c>
      <c r="E42" s="1">
        <v>2002</v>
      </c>
      <c r="F42" s="1" t="s">
        <v>65</v>
      </c>
      <c r="G42" s="1" t="s">
        <v>77</v>
      </c>
      <c r="H42" s="1">
        <v>19009</v>
      </c>
      <c r="I42" s="1">
        <v>0</v>
      </c>
      <c r="J42" s="1">
        <v>0</v>
      </c>
      <c r="K42" s="1">
        <v>3</v>
      </c>
      <c r="L42" s="1" t="s">
        <v>29</v>
      </c>
      <c r="M42" s="1">
        <v>802</v>
      </c>
      <c r="N42" s="1" t="s">
        <v>75</v>
      </c>
      <c r="O42" s="1" t="s">
        <v>90</v>
      </c>
      <c r="P42" s="1">
        <v>0</v>
      </c>
      <c r="Q42" s="1" t="s">
        <v>51</v>
      </c>
      <c r="R42" t="str">
        <f t="shared" si="0"/>
        <v>N</v>
      </c>
    </row>
    <row r="43" spans="1:18" x14ac:dyDescent="0.3">
      <c r="A43" s="2" t="s">
        <v>120</v>
      </c>
      <c r="B43" s="2">
        <v>32</v>
      </c>
      <c r="C43" s="2" t="s">
        <v>60</v>
      </c>
      <c r="D43" s="2" t="s">
        <v>19</v>
      </c>
      <c r="E43" s="2">
        <v>2009</v>
      </c>
      <c r="F43" s="2" t="s">
        <v>20</v>
      </c>
      <c r="G43" s="2" t="s">
        <v>50</v>
      </c>
      <c r="H43" s="2">
        <v>18507</v>
      </c>
      <c r="I43" s="2">
        <v>12</v>
      </c>
      <c r="J43" s="2">
        <v>1</v>
      </c>
      <c r="K43" s="2">
        <v>1</v>
      </c>
      <c r="L43" s="2" t="s">
        <v>29</v>
      </c>
      <c r="M43" s="2">
        <v>638</v>
      </c>
      <c r="N43" s="2" t="s">
        <v>75</v>
      </c>
      <c r="O43" s="2" t="s">
        <v>23</v>
      </c>
      <c r="P43" s="2">
        <v>1200</v>
      </c>
      <c r="Q43" s="2" t="s">
        <v>51</v>
      </c>
      <c r="R43" t="str">
        <f t="shared" si="0"/>
        <v>Y</v>
      </c>
    </row>
    <row r="44" spans="1:18" x14ac:dyDescent="0.3">
      <c r="A44" s="1" t="s">
        <v>121</v>
      </c>
      <c r="B44" s="1">
        <v>34</v>
      </c>
      <c r="C44" s="1" t="s">
        <v>18</v>
      </c>
      <c r="D44" s="1" t="s">
        <v>33</v>
      </c>
      <c r="E44" s="1">
        <v>2023</v>
      </c>
      <c r="F44" s="1" t="s">
        <v>65</v>
      </c>
      <c r="G44" s="1" t="s">
        <v>77</v>
      </c>
      <c r="H44" s="1">
        <v>6917</v>
      </c>
      <c r="I44" s="1">
        <v>14</v>
      </c>
      <c r="J44" s="1">
        <v>2</v>
      </c>
      <c r="K44" s="1">
        <v>0</v>
      </c>
      <c r="L44" s="1" t="s">
        <v>35</v>
      </c>
      <c r="M44" s="1">
        <v>521</v>
      </c>
      <c r="N44" s="1" t="s">
        <v>39</v>
      </c>
      <c r="O44" s="1" t="s">
        <v>23</v>
      </c>
      <c r="P44" s="1">
        <v>1200</v>
      </c>
      <c r="Q44" s="1" t="s">
        <v>80</v>
      </c>
      <c r="R44" t="str">
        <f t="shared" si="0"/>
        <v>Y</v>
      </c>
    </row>
    <row r="45" spans="1:18" x14ac:dyDescent="0.3">
      <c r="A45" s="2" t="s">
        <v>122</v>
      </c>
      <c r="B45" s="2">
        <v>53</v>
      </c>
      <c r="C45" s="2" t="s">
        <v>18</v>
      </c>
      <c r="D45" s="2" t="s">
        <v>19</v>
      </c>
      <c r="E45" s="2">
        <v>2020</v>
      </c>
      <c r="F45" s="2" t="s">
        <v>73</v>
      </c>
      <c r="G45" s="2" t="s">
        <v>117</v>
      </c>
      <c r="H45" s="2">
        <v>3401</v>
      </c>
      <c r="I45" s="2">
        <v>33</v>
      </c>
      <c r="J45" s="2">
        <v>0</v>
      </c>
      <c r="K45" s="2">
        <v>1</v>
      </c>
      <c r="L45" s="2" t="s">
        <v>29</v>
      </c>
      <c r="M45" s="2">
        <v>751</v>
      </c>
      <c r="N45" s="2" t="s">
        <v>75</v>
      </c>
      <c r="O45" s="2" t="s">
        <v>43</v>
      </c>
      <c r="P45" s="2">
        <v>0</v>
      </c>
      <c r="Q45" s="2" t="s">
        <v>63</v>
      </c>
      <c r="R45" t="str">
        <f t="shared" si="0"/>
        <v>N</v>
      </c>
    </row>
    <row r="46" spans="1:18" x14ac:dyDescent="0.3">
      <c r="A46" s="1" t="s">
        <v>123</v>
      </c>
      <c r="B46" s="1">
        <v>73</v>
      </c>
      <c r="C46" s="1" t="s">
        <v>60</v>
      </c>
      <c r="D46" s="1" t="s">
        <v>33</v>
      </c>
      <c r="E46" s="1">
        <v>2002</v>
      </c>
      <c r="F46" s="1" t="s">
        <v>46</v>
      </c>
      <c r="G46" s="1" t="s">
        <v>47</v>
      </c>
      <c r="H46" s="1">
        <v>5427</v>
      </c>
      <c r="I46" s="1">
        <v>53</v>
      </c>
      <c r="J46" s="1">
        <v>2</v>
      </c>
      <c r="K46" s="1">
        <v>3</v>
      </c>
      <c r="L46" s="1" t="s">
        <v>35</v>
      </c>
      <c r="M46" s="1">
        <v>455</v>
      </c>
      <c r="N46" s="1" t="s">
        <v>22</v>
      </c>
      <c r="O46" s="1" t="s">
        <v>432</v>
      </c>
      <c r="P46" s="1">
        <v>1200</v>
      </c>
      <c r="Q46" s="1" t="s">
        <v>37</v>
      </c>
      <c r="R46" t="str">
        <f t="shared" si="0"/>
        <v>Y</v>
      </c>
    </row>
    <row r="47" spans="1:18" x14ac:dyDescent="0.3">
      <c r="A47" s="2" t="s">
        <v>124</v>
      </c>
      <c r="B47" s="2">
        <v>33</v>
      </c>
      <c r="C47" s="2" t="s">
        <v>18</v>
      </c>
      <c r="D47" s="2" t="s">
        <v>26</v>
      </c>
      <c r="E47" s="2">
        <v>2019</v>
      </c>
      <c r="F47" s="2" t="s">
        <v>20</v>
      </c>
      <c r="G47" s="2" t="s">
        <v>21</v>
      </c>
      <c r="H47" s="2">
        <v>20123</v>
      </c>
      <c r="I47" s="2">
        <v>14</v>
      </c>
      <c r="J47" s="2">
        <v>1</v>
      </c>
      <c r="K47" s="2">
        <v>1</v>
      </c>
      <c r="L47" s="2" t="s">
        <v>29</v>
      </c>
      <c r="M47" s="2">
        <v>739</v>
      </c>
      <c r="N47" s="2" t="s">
        <v>75</v>
      </c>
      <c r="O47" s="2" t="s">
        <v>432</v>
      </c>
      <c r="P47" s="2">
        <v>0</v>
      </c>
      <c r="Q47" s="2" t="s">
        <v>41</v>
      </c>
      <c r="R47" t="str">
        <f t="shared" si="0"/>
        <v>N</v>
      </c>
    </row>
    <row r="48" spans="1:18" x14ac:dyDescent="0.3">
      <c r="A48" s="1" t="s">
        <v>125</v>
      </c>
      <c r="B48" s="1">
        <v>65</v>
      </c>
      <c r="C48" s="1" t="s">
        <v>18</v>
      </c>
      <c r="D48" s="1" t="s">
        <v>19</v>
      </c>
      <c r="E48" s="1">
        <v>2020</v>
      </c>
      <c r="F48" s="1" t="s">
        <v>65</v>
      </c>
      <c r="G48" s="1" t="s">
        <v>77</v>
      </c>
      <c r="H48" s="1">
        <v>24640</v>
      </c>
      <c r="I48" s="1">
        <v>49</v>
      </c>
      <c r="J48" s="1">
        <v>0</v>
      </c>
      <c r="K48" s="1">
        <v>0</v>
      </c>
      <c r="L48" s="1" t="s">
        <v>35</v>
      </c>
      <c r="M48" s="1">
        <v>376</v>
      </c>
      <c r="N48" s="1" t="s">
        <v>22</v>
      </c>
      <c r="O48" s="1" t="s">
        <v>90</v>
      </c>
      <c r="P48" s="1">
        <v>7500</v>
      </c>
      <c r="Q48" s="1" t="s">
        <v>126</v>
      </c>
      <c r="R48" t="str">
        <f t="shared" si="0"/>
        <v>Y</v>
      </c>
    </row>
    <row r="49" spans="1:18" x14ac:dyDescent="0.3">
      <c r="A49" s="2" t="s">
        <v>127</v>
      </c>
      <c r="B49" s="2">
        <v>62</v>
      </c>
      <c r="C49" s="2" t="s">
        <v>60</v>
      </c>
      <c r="D49" s="2" t="s">
        <v>26</v>
      </c>
      <c r="E49" s="2">
        <v>2009</v>
      </c>
      <c r="F49" s="2" t="s">
        <v>69</v>
      </c>
      <c r="G49" s="2" t="s">
        <v>88</v>
      </c>
      <c r="H49" s="2">
        <v>12440</v>
      </c>
      <c r="I49" s="2">
        <v>44</v>
      </c>
      <c r="J49" s="2">
        <v>2</v>
      </c>
      <c r="K49" s="2">
        <v>1</v>
      </c>
      <c r="L49" s="2" t="s">
        <v>35</v>
      </c>
      <c r="M49" s="2">
        <v>539</v>
      </c>
      <c r="N49" s="2" t="s">
        <v>75</v>
      </c>
      <c r="O49" s="2" t="s">
        <v>432</v>
      </c>
      <c r="P49" s="2">
        <v>500</v>
      </c>
      <c r="Q49" s="2" t="s">
        <v>48</v>
      </c>
      <c r="R49" t="str">
        <f t="shared" si="0"/>
        <v>Y</v>
      </c>
    </row>
    <row r="50" spans="1:18" x14ac:dyDescent="0.3">
      <c r="A50" s="1" t="s">
        <v>128</v>
      </c>
      <c r="B50" s="1">
        <v>62</v>
      </c>
      <c r="C50" s="1" t="s">
        <v>60</v>
      </c>
      <c r="D50" s="1" t="s">
        <v>85</v>
      </c>
      <c r="E50" s="1">
        <v>2016</v>
      </c>
      <c r="F50" s="1" t="s">
        <v>79</v>
      </c>
      <c r="G50" s="1" t="s">
        <v>129</v>
      </c>
      <c r="H50" s="1">
        <v>17344</v>
      </c>
      <c r="I50" s="1">
        <v>46</v>
      </c>
      <c r="J50" s="1">
        <v>1</v>
      </c>
      <c r="K50" s="1">
        <v>0</v>
      </c>
      <c r="L50" s="1" t="s">
        <v>29</v>
      </c>
      <c r="M50" s="1">
        <v>630</v>
      </c>
      <c r="N50" s="1" t="s">
        <v>39</v>
      </c>
      <c r="O50" s="1" t="s">
        <v>40</v>
      </c>
      <c r="P50" s="1">
        <v>0</v>
      </c>
      <c r="Q50" s="1" t="s">
        <v>37</v>
      </c>
      <c r="R50" t="str">
        <f t="shared" si="0"/>
        <v>N</v>
      </c>
    </row>
    <row r="51" spans="1:18" x14ac:dyDescent="0.3">
      <c r="A51" s="2" t="s">
        <v>130</v>
      </c>
      <c r="B51" s="2">
        <v>32</v>
      </c>
      <c r="C51" s="2" t="s">
        <v>60</v>
      </c>
      <c r="D51" s="2" t="s">
        <v>33</v>
      </c>
      <c r="E51" s="2">
        <v>2024</v>
      </c>
      <c r="F51" s="2" t="s">
        <v>27</v>
      </c>
      <c r="G51" s="2" t="s">
        <v>53</v>
      </c>
      <c r="H51" s="2">
        <v>4318</v>
      </c>
      <c r="I51" s="2">
        <v>15</v>
      </c>
      <c r="J51" s="2">
        <v>1</v>
      </c>
      <c r="K51" s="2">
        <v>2</v>
      </c>
      <c r="L51" s="2" t="s">
        <v>29</v>
      </c>
      <c r="M51" s="2">
        <v>584</v>
      </c>
      <c r="N51" s="2" t="s">
        <v>22</v>
      </c>
      <c r="O51" s="2" t="s">
        <v>432</v>
      </c>
      <c r="P51" s="2">
        <v>7500</v>
      </c>
      <c r="Q51" s="2" t="s">
        <v>108</v>
      </c>
      <c r="R51" t="str">
        <f t="shared" si="0"/>
        <v>Y</v>
      </c>
    </row>
    <row r="52" spans="1:18" x14ac:dyDescent="0.3">
      <c r="A52" s="1" t="s">
        <v>131</v>
      </c>
      <c r="B52" s="1">
        <v>23</v>
      </c>
      <c r="C52" s="1" t="s">
        <v>60</v>
      </c>
      <c r="D52" s="1" t="s">
        <v>85</v>
      </c>
      <c r="E52" s="1">
        <v>2013</v>
      </c>
      <c r="F52" s="1" t="s">
        <v>27</v>
      </c>
      <c r="G52" s="1" t="s">
        <v>38</v>
      </c>
      <c r="H52" s="1">
        <v>24958</v>
      </c>
      <c r="I52" s="1">
        <v>7</v>
      </c>
      <c r="J52" s="1">
        <v>0</v>
      </c>
      <c r="K52" s="1">
        <v>1</v>
      </c>
      <c r="L52" s="1" t="s">
        <v>29</v>
      </c>
      <c r="M52" s="1">
        <v>807</v>
      </c>
      <c r="N52" s="1" t="s">
        <v>75</v>
      </c>
      <c r="O52" s="1" t="s">
        <v>431</v>
      </c>
      <c r="P52" s="1">
        <v>0</v>
      </c>
      <c r="Q52" s="1" t="s">
        <v>126</v>
      </c>
      <c r="R52" t="str">
        <f t="shared" si="0"/>
        <v>N</v>
      </c>
    </row>
    <row r="53" spans="1:18" x14ac:dyDescent="0.3">
      <c r="A53" s="2" t="s">
        <v>132</v>
      </c>
      <c r="B53" s="2">
        <v>23</v>
      </c>
      <c r="C53" s="2" t="s">
        <v>18</v>
      </c>
      <c r="D53" s="2" t="s">
        <v>85</v>
      </c>
      <c r="E53" s="2">
        <v>2010</v>
      </c>
      <c r="F53" s="2" t="s">
        <v>69</v>
      </c>
      <c r="G53" s="2" t="s">
        <v>34</v>
      </c>
      <c r="H53" s="2">
        <v>19862</v>
      </c>
      <c r="I53" s="2">
        <v>7</v>
      </c>
      <c r="J53" s="2">
        <v>2</v>
      </c>
      <c r="K53" s="2">
        <v>2</v>
      </c>
      <c r="L53" s="2" t="s">
        <v>29</v>
      </c>
      <c r="M53" s="2">
        <v>723</v>
      </c>
      <c r="N53" s="2" t="s">
        <v>22</v>
      </c>
      <c r="O53" s="2" t="s">
        <v>36</v>
      </c>
      <c r="P53" s="2">
        <v>3000</v>
      </c>
      <c r="Q53" s="2" t="s">
        <v>41</v>
      </c>
      <c r="R53" t="str">
        <f t="shared" si="0"/>
        <v>Y</v>
      </c>
    </row>
    <row r="54" spans="1:18" x14ac:dyDescent="0.3">
      <c r="A54" s="1" t="s">
        <v>133</v>
      </c>
      <c r="B54" s="1">
        <v>66</v>
      </c>
      <c r="C54" s="1" t="s">
        <v>60</v>
      </c>
      <c r="D54" s="1" t="s">
        <v>26</v>
      </c>
      <c r="E54" s="1">
        <v>2024</v>
      </c>
      <c r="F54" s="1" t="s">
        <v>69</v>
      </c>
      <c r="G54" s="1" t="s">
        <v>88</v>
      </c>
      <c r="H54" s="1">
        <v>11750</v>
      </c>
      <c r="I54" s="1">
        <v>46</v>
      </c>
      <c r="J54" s="1">
        <v>0</v>
      </c>
      <c r="K54" s="1">
        <v>1</v>
      </c>
      <c r="L54" s="1" t="s">
        <v>29</v>
      </c>
      <c r="M54" s="1">
        <v>796</v>
      </c>
      <c r="N54" s="1" t="s">
        <v>22</v>
      </c>
      <c r="O54" s="1" t="s">
        <v>90</v>
      </c>
      <c r="P54" s="1">
        <v>500</v>
      </c>
      <c r="Q54" s="1" t="s">
        <v>98</v>
      </c>
      <c r="R54" t="str">
        <f t="shared" si="0"/>
        <v>Y</v>
      </c>
    </row>
    <row r="55" spans="1:18" x14ac:dyDescent="0.3">
      <c r="A55" s="2" t="s">
        <v>134</v>
      </c>
      <c r="B55" s="2">
        <v>37</v>
      </c>
      <c r="C55" s="2" t="s">
        <v>60</v>
      </c>
      <c r="D55" s="2" t="s">
        <v>33</v>
      </c>
      <c r="E55" s="2">
        <v>2017</v>
      </c>
      <c r="F55" s="2" t="s">
        <v>46</v>
      </c>
      <c r="G55" s="2" t="s">
        <v>110</v>
      </c>
      <c r="H55" s="2">
        <v>10362</v>
      </c>
      <c r="I55" s="2">
        <v>21</v>
      </c>
      <c r="J55" s="2">
        <v>1</v>
      </c>
      <c r="K55" s="2">
        <v>0</v>
      </c>
      <c r="L55" s="2" t="s">
        <v>35</v>
      </c>
      <c r="M55" s="2">
        <v>810</v>
      </c>
      <c r="N55" s="2" t="s">
        <v>39</v>
      </c>
      <c r="O55" s="2" t="s">
        <v>40</v>
      </c>
      <c r="P55" s="2">
        <v>1200</v>
      </c>
      <c r="Q55" s="2" t="s">
        <v>48</v>
      </c>
      <c r="R55" t="str">
        <f t="shared" si="0"/>
        <v>Y</v>
      </c>
    </row>
    <row r="56" spans="1:18" x14ac:dyDescent="0.3">
      <c r="A56" s="1" t="s">
        <v>135</v>
      </c>
      <c r="B56" s="1">
        <v>71</v>
      </c>
      <c r="C56" s="1" t="s">
        <v>60</v>
      </c>
      <c r="D56" s="1" t="s">
        <v>26</v>
      </c>
      <c r="E56" s="1">
        <v>2007</v>
      </c>
      <c r="F56" s="1" t="s">
        <v>73</v>
      </c>
      <c r="G56" s="1" t="s">
        <v>83</v>
      </c>
      <c r="H56" s="1">
        <v>7739</v>
      </c>
      <c r="I56" s="1">
        <v>52</v>
      </c>
      <c r="J56" s="1">
        <v>0</v>
      </c>
      <c r="K56" s="1">
        <v>2</v>
      </c>
      <c r="L56" s="1" t="s">
        <v>35</v>
      </c>
      <c r="M56" s="1">
        <v>439</v>
      </c>
      <c r="N56" s="1" t="s">
        <v>22</v>
      </c>
      <c r="O56" s="1" t="s">
        <v>40</v>
      </c>
      <c r="P56" s="1">
        <v>7500</v>
      </c>
      <c r="Q56" s="1" t="s">
        <v>58</v>
      </c>
      <c r="R56" t="str">
        <f t="shared" si="0"/>
        <v>Y</v>
      </c>
    </row>
    <row r="57" spans="1:18" x14ac:dyDescent="0.3">
      <c r="A57" s="2" t="s">
        <v>136</v>
      </c>
      <c r="B57" s="2">
        <v>68</v>
      </c>
      <c r="C57" s="2" t="s">
        <v>60</v>
      </c>
      <c r="D57" s="2" t="s">
        <v>85</v>
      </c>
      <c r="E57" s="2">
        <v>2000</v>
      </c>
      <c r="F57" s="2" t="s">
        <v>27</v>
      </c>
      <c r="G57" s="2" t="s">
        <v>53</v>
      </c>
      <c r="H57" s="2">
        <v>12783</v>
      </c>
      <c r="I57" s="2">
        <v>48</v>
      </c>
      <c r="J57" s="2">
        <v>1</v>
      </c>
      <c r="K57" s="2">
        <v>3</v>
      </c>
      <c r="L57" s="2" t="s">
        <v>29</v>
      </c>
      <c r="M57" s="2">
        <v>452</v>
      </c>
      <c r="N57" s="2" t="s">
        <v>75</v>
      </c>
      <c r="O57" s="2" t="s">
        <v>62</v>
      </c>
      <c r="P57" s="2">
        <v>15000</v>
      </c>
      <c r="Q57" s="2" t="s">
        <v>54</v>
      </c>
      <c r="R57" t="str">
        <f t="shared" si="0"/>
        <v>Y</v>
      </c>
    </row>
    <row r="58" spans="1:18" x14ac:dyDescent="0.3">
      <c r="A58" s="1" t="s">
        <v>137</v>
      </c>
      <c r="B58" s="1">
        <v>39</v>
      </c>
      <c r="C58" s="1" t="s">
        <v>60</v>
      </c>
      <c r="D58" s="1" t="s">
        <v>26</v>
      </c>
      <c r="E58" s="1">
        <v>2014</v>
      </c>
      <c r="F58" s="1" t="s">
        <v>27</v>
      </c>
      <c r="G58" s="1" t="s">
        <v>28</v>
      </c>
      <c r="H58" s="1">
        <v>10825</v>
      </c>
      <c r="I58" s="1">
        <v>19</v>
      </c>
      <c r="J58" s="1">
        <v>1</v>
      </c>
      <c r="K58" s="1">
        <v>0</v>
      </c>
      <c r="L58" s="1" t="s">
        <v>29</v>
      </c>
      <c r="M58" s="1">
        <v>344</v>
      </c>
      <c r="N58" s="1" t="s">
        <v>75</v>
      </c>
      <c r="O58" s="1" t="s">
        <v>23</v>
      </c>
      <c r="P58" s="1">
        <v>7500</v>
      </c>
      <c r="Q58" s="1" t="s">
        <v>95</v>
      </c>
      <c r="R58" t="str">
        <f t="shared" si="0"/>
        <v>Y</v>
      </c>
    </row>
    <row r="59" spans="1:18" x14ac:dyDescent="0.3">
      <c r="A59" s="2" t="s">
        <v>138</v>
      </c>
      <c r="B59" s="2">
        <v>60</v>
      </c>
      <c r="C59" s="2" t="s">
        <v>60</v>
      </c>
      <c r="D59" s="2" t="s">
        <v>19</v>
      </c>
      <c r="E59" s="2">
        <v>2015</v>
      </c>
      <c r="F59" s="2" t="s">
        <v>69</v>
      </c>
      <c r="G59" s="2" t="s">
        <v>88</v>
      </c>
      <c r="H59" s="2">
        <v>19459</v>
      </c>
      <c r="I59" s="2">
        <v>40</v>
      </c>
      <c r="J59" s="2">
        <v>0</v>
      </c>
      <c r="K59" s="2">
        <v>0</v>
      </c>
      <c r="L59" s="2" t="s">
        <v>29</v>
      </c>
      <c r="M59" s="2">
        <v>402</v>
      </c>
      <c r="N59" s="2" t="s">
        <v>39</v>
      </c>
      <c r="O59" s="2" t="s">
        <v>23</v>
      </c>
      <c r="P59" s="2">
        <v>0</v>
      </c>
      <c r="Q59" s="2" t="s">
        <v>105</v>
      </c>
      <c r="R59" t="str">
        <f t="shared" si="0"/>
        <v>N</v>
      </c>
    </row>
    <row r="60" spans="1:18" x14ac:dyDescent="0.3">
      <c r="A60" s="1" t="s">
        <v>139</v>
      </c>
      <c r="B60" s="1">
        <v>44</v>
      </c>
      <c r="C60" s="1" t="s">
        <v>60</v>
      </c>
      <c r="D60" s="1" t="s">
        <v>19</v>
      </c>
      <c r="E60" s="1">
        <v>2002</v>
      </c>
      <c r="F60" s="1" t="s">
        <v>73</v>
      </c>
      <c r="G60" s="1" t="s">
        <v>74</v>
      </c>
      <c r="H60" s="1">
        <v>14093</v>
      </c>
      <c r="I60" s="1">
        <v>24</v>
      </c>
      <c r="J60" s="1">
        <v>2</v>
      </c>
      <c r="K60" s="1">
        <v>1</v>
      </c>
      <c r="L60" s="1" t="s">
        <v>35</v>
      </c>
      <c r="M60" s="1">
        <v>636</v>
      </c>
      <c r="N60" s="1" t="s">
        <v>39</v>
      </c>
      <c r="O60" s="1" t="s">
        <v>62</v>
      </c>
      <c r="P60" s="1">
        <v>7500</v>
      </c>
      <c r="Q60" s="1" t="s">
        <v>58</v>
      </c>
      <c r="R60" t="str">
        <f t="shared" si="0"/>
        <v>Y</v>
      </c>
    </row>
    <row r="61" spans="1:18" x14ac:dyDescent="0.3">
      <c r="A61" s="2" t="s">
        <v>140</v>
      </c>
      <c r="B61" s="2">
        <v>58</v>
      </c>
      <c r="C61" s="2" t="s">
        <v>60</v>
      </c>
      <c r="D61" s="2" t="s">
        <v>26</v>
      </c>
      <c r="E61" s="2">
        <v>2017</v>
      </c>
      <c r="F61" s="2" t="s">
        <v>69</v>
      </c>
      <c r="G61" s="2" t="s">
        <v>70</v>
      </c>
      <c r="H61" s="2">
        <v>5242</v>
      </c>
      <c r="I61" s="2">
        <v>41</v>
      </c>
      <c r="J61" s="2">
        <v>2</v>
      </c>
      <c r="K61" s="2">
        <v>3</v>
      </c>
      <c r="L61" s="2" t="s">
        <v>29</v>
      </c>
      <c r="M61" s="2">
        <v>532</v>
      </c>
      <c r="N61" s="2" t="s">
        <v>39</v>
      </c>
      <c r="O61" s="2" t="s">
        <v>67</v>
      </c>
      <c r="P61" s="2">
        <v>7500</v>
      </c>
      <c r="Q61" s="2" t="s">
        <v>86</v>
      </c>
      <c r="R61" t="str">
        <f t="shared" si="0"/>
        <v>Y</v>
      </c>
    </row>
    <row r="62" spans="1:18" x14ac:dyDescent="0.3">
      <c r="A62" s="1" t="s">
        <v>141</v>
      </c>
      <c r="B62" s="1">
        <v>33</v>
      </c>
      <c r="C62" s="1" t="s">
        <v>60</v>
      </c>
      <c r="D62" s="1" t="s">
        <v>26</v>
      </c>
      <c r="E62" s="1">
        <v>2018</v>
      </c>
      <c r="F62" s="1" t="s">
        <v>65</v>
      </c>
      <c r="G62" s="1" t="s">
        <v>61</v>
      </c>
      <c r="H62" s="1">
        <v>8736</v>
      </c>
      <c r="I62" s="1">
        <v>17</v>
      </c>
      <c r="J62" s="1">
        <v>1</v>
      </c>
      <c r="K62" s="1">
        <v>1</v>
      </c>
      <c r="L62" s="1" t="s">
        <v>35</v>
      </c>
      <c r="M62" s="1">
        <v>546</v>
      </c>
      <c r="N62" s="1" t="s">
        <v>75</v>
      </c>
      <c r="O62" s="1" t="s">
        <v>432</v>
      </c>
      <c r="P62" s="1">
        <v>0</v>
      </c>
      <c r="Q62" s="1" t="s">
        <v>142</v>
      </c>
      <c r="R62" t="str">
        <f t="shared" si="0"/>
        <v>N</v>
      </c>
    </row>
    <row r="63" spans="1:18" x14ac:dyDescent="0.3">
      <c r="A63" s="2" t="s">
        <v>143</v>
      </c>
      <c r="B63" s="2">
        <v>47</v>
      </c>
      <c r="C63" s="2" t="s">
        <v>60</v>
      </c>
      <c r="D63" s="2" t="s">
        <v>85</v>
      </c>
      <c r="E63" s="2">
        <v>2014</v>
      </c>
      <c r="F63" s="2" t="s">
        <v>27</v>
      </c>
      <c r="G63" s="2" t="s">
        <v>53</v>
      </c>
      <c r="H63" s="2">
        <v>3307</v>
      </c>
      <c r="I63" s="2">
        <v>28</v>
      </c>
      <c r="J63" s="2">
        <v>0</v>
      </c>
      <c r="K63" s="2">
        <v>3</v>
      </c>
      <c r="L63" s="2" t="s">
        <v>35</v>
      </c>
      <c r="M63" s="2">
        <v>461</v>
      </c>
      <c r="N63" s="2" t="s">
        <v>22</v>
      </c>
      <c r="O63" s="2" t="s">
        <v>23</v>
      </c>
      <c r="P63" s="2">
        <v>3000</v>
      </c>
      <c r="Q63" s="2" t="s">
        <v>80</v>
      </c>
      <c r="R63" t="str">
        <f t="shared" si="0"/>
        <v>Y</v>
      </c>
    </row>
    <row r="64" spans="1:18" x14ac:dyDescent="0.3">
      <c r="A64" s="1" t="s">
        <v>144</v>
      </c>
      <c r="B64" s="1">
        <v>37</v>
      </c>
      <c r="C64" s="1" t="s">
        <v>60</v>
      </c>
      <c r="D64" s="1" t="s">
        <v>26</v>
      </c>
      <c r="E64" s="1">
        <v>2022</v>
      </c>
      <c r="F64" s="1" t="s">
        <v>27</v>
      </c>
      <c r="G64" s="1" t="s">
        <v>38</v>
      </c>
      <c r="H64" s="1">
        <v>12899</v>
      </c>
      <c r="I64" s="1">
        <v>20</v>
      </c>
      <c r="J64" s="1">
        <v>1</v>
      </c>
      <c r="K64" s="1">
        <v>1</v>
      </c>
      <c r="L64" s="1" t="s">
        <v>35</v>
      </c>
      <c r="M64" s="1">
        <v>542</v>
      </c>
      <c r="N64" s="1" t="s">
        <v>75</v>
      </c>
      <c r="O64" s="1" t="s">
        <v>432</v>
      </c>
      <c r="P64" s="1">
        <v>3000</v>
      </c>
      <c r="Q64" s="1" t="s">
        <v>80</v>
      </c>
      <c r="R64" t="str">
        <f t="shared" si="0"/>
        <v>Y</v>
      </c>
    </row>
    <row r="65" spans="1:18" x14ac:dyDescent="0.3">
      <c r="A65" s="2" t="s">
        <v>145</v>
      </c>
      <c r="B65" s="2">
        <v>36</v>
      </c>
      <c r="C65" s="2" t="s">
        <v>60</v>
      </c>
      <c r="D65" s="2" t="s">
        <v>85</v>
      </c>
      <c r="E65" s="2">
        <v>2000</v>
      </c>
      <c r="F65" s="2" t="s">
        <v>46</v>
      </c>
      <c r="G65" s="2" t="s">
        <v>47</v>
      </c>
      <c r="H65" s="2">
        <v>3265</v>
      </c>
      <c r="I65" s="2">
        <v>16</v>
      </c>
      <c r="J65" s="2">
        <v>2</v>
      </c>
      <c r="K65" s="2">
        <v>3</v>
      </c>
      <c r="L65" s="2" t="s">
        <v>35</v>
      </c>
      <c r="M65" s="2">
        <v>808</v>
      </c>
      <c r="N65" s="2" t="s">
        <v>75</v>
      </c>
      <c r="O65" s="2" t="s">
        <v>36</v>
      </c>
      <c r="P65" s="2">
        <v>3000</v>
      </c>
      <c r="Q65" s="2" t="s">
        <v>142</v>
      </c>
      <c r="R65" t="str">
        <f t="shared" si="0"/>
        <v>Y</v>
      </c>
    </row>
    <row r="66" spans="1:18" x14ac:dyDescent="0.3">
      <c r="A66" s="1" t="s">
        <v>146</v>
      </c>
      <c r="B66" s="1">
        <v>58</v>
      </c>
      <c r="C66" s="1" t="s">
        <v>18</v>
      </c>
      <c r="D66" s="1" t="s">
        <v>85</v>
      </c>
      <c r="E66" s="1">
        <v>2021</v>
      </c>
      <c r="F66" s="1" t="s">
        <v>65</v>
      </c>
      <c r="G66" s="1" t="s">
        <v>66</v>
      </c>
      <c r="H66" s="1">
        <v>6183</v>
      </c>
      <c r="I66" s="1">
        <v>42</v>
      </c>
      <c r="J66" s="1">
        <v>0</v>
      </c>
      <c r="K66" s="1">
        <v>1</v>
      </c>
      <c r="L66" s="1" t="s">
        <v>35</v>
      </c>
      <c r="M66" s="1">
        <v>673</v>
      </c>
      <c r="N66" s="1" t="s">
        <v>39</v>
      </c>
      <c r="O66" s="1" t="s">
        <v>43</v>
      </c>
      <c r="P66" s="1">
        <v>0</v>
      </c>
      <c r="Q66" s="1" t="s">
        <v>51</v>
      </c>
      <c r="R66" t="str">
        <f t="shared" si="0"/>
        <v>N</v>
      </c>
    </row>
    <row r="67" spans="1:18" x14ac:dyDescent="0.3">
      <c r="A67" s="2" t="s">
        <v>147</v>
      </c>
      <c r="B67" s="2">
        <v>38</v>
      </c>
      <c r="C67" s="2" t="s">
        <v>60</v>
      </c>
      <c r="D67" s="2" t="s">
        <v>26</v>
      </c>
      <c r="E67" s="2">
        <v>2005</v>
      </c>
      <c r="F67" s="2" t="s">
        <v>65</v>
      </c>
      <c r="G67" s="2" t="s">
        <v>61</v>
      </c>
      <c r="H67" s="2">
        <v>20675</v>
      </c>
      <c r="I67" s="2">
        <v>20</v>
      </c>
      <c r="J67" s="2">
        <v>1</v>
      </c>
      <c r="K67" s="2">
        <v>2</v>
      </c>
      <c r="L67" s="2" t="s">
        <v>29</v>
      </c>
      <c r="M67" s="2">
        <v>468</v>
      </c>
      <c r="N67" s="2" t="s">
        <v>75</v>
      </c>
      <c r="O67" s="2" t="s">
        <v>23</v>
      </c>
      <c r="P67" s="2">
        <v>1200</v>
      </c>
      <c r="Q67" s="2" t="s">
        <v>58</v>
      </c>
      <c r="R67" t="str">
        <f t="shared" ref="R67:R130" si="1">IF(P67&gt;0, "Y", "N")</f>
        <v>Y</v>
      </c>
    </row>
    <row r="68" spans="1:18" x14ac:dyDescent="0.3">
      <c r="A68" s="1" t="s">
        <v>148</v>
      </c>
      <c r="B68" s="1">
        <v>69</v>
      </c>
      <c r="C68" s="1" t="s">
        <v>18</v>
      </c>
      <c r="D68" s="1" t="s">
        <v>26</v>
      </c>
      <c r="E68" s="1">
        <v>2002</v>
      </c>
      <c r="F68" s="1" t="s">
        <v>65</v>
      </c>
      <c r="G68" s="1" t="s">
        <v>61</v>
      </c>
      <c r="H68" s="1">
        <v>16022</v>
      </c>
      <c r="I68" s="1">
        <v>49</v>
      </c>
      <c r="J68" s="1">
        <v>0</v>
      </c>
      <c r="K68" s="1">
        <v>0</v>
      </c>
      <c r="L68" s="1" t="s">
        <v>29</v>
      </c>
      <c r="M68" s="1">
        <v>314</v>
      </c>
      <c r="N68" s="1" t="s">
        <v>75</v>
      </c>
      <c r="O68" s="1" t="s">
        <v>62</v>
      </c>
      <c r="P68" s="1">
        <v>0</v>
      </c>
      <c r="Q68" s="1" t="s">
        <v>126</v>
      </c>
      <c r="R68" t="str">
        <f t="shared" si="1"/>
        <v>N</v>
      </c>
    </row>
    <row r="69" spans="1:18" x14ac:dyDescent="0.3">
      <c r="A69" s="2" t="s">
        <v>150</v>
      </c>
      <c r="B69" s="2">
        <v>41</v>
      </c>
      <c r="C69" s="2" t="s">
        <v>60</v>
      </c>
      <c r="D69" s="2" t="s">
        <v>85</v>
      </c>
      <c r="E69" s="2">
        <v>2018</v>
      </c>
      <c r="F69" s="2" t="s">
        <v>46</v>
      </c>
      <c r="G69" s="2" t="s">
        <v>400</v>
      </c>
      <c r="H69" s="2">
        <v>15172</v>
      </c>
      <c r="I69" s="2">
        <v>25</v>
      </c>
      <c r="J69" s="2">
        <v>2</v>
      </c>
      <c r="K69" s="2">
        <v>0</v>
      </c>
      <c r="L69" s="2" t="s">
        <v>29</v>
      </c>
      <c r="M69" s="2">
        <v>325</v>
      </c>
      <c r="N69" s="2" t="s">
        <v>39</v>
      </c>
      <c r="O69" s="2" t="s">
        <v>62</v>
      </c>
      <c r="P69" s="2">
        <v>3000</v>
      </c>
      <c r="Q69" s="2" t="s">
        <v>41</v>
      </c>
      <c r="R69" t="str">
        <f t="shared" si="1"/>
        <v>Y</v>
      </c>
    </row>
    <row r="70" spans="1:18" x14ac:dyDescent="0.3">
      <c r="A70" s="1" t="s">
        <v>151</v>
      </c>
      <c r="B70" s="1">
        <v>32</v>
      </c>
      <c r="C70" s="1" t="s">
        <v>60</v>
      </c>
      <c r="D70" s="1" t="s">
        <v>33</v>
      </c>
      <c r="E70" s="1">
        <v>2020</v>
      </c>
      <c r="F70" s="1" t="s">
        <v>73</v>
      </c>
      <c r="G70" s="1" t="s">
        <v>83</v>
      </c>
      <c r="H70" s="1">
        <v>12902</v>
      </c>
      <c r="I70" s="1">
        <v>13</v>
      </c>
      <c r="J70" s="1">
        <v>0</v>
      </c>
      <c r="K70" s="1">
        <v>0</v>
      </c>
      <c r="L70" s="1" t="s">
        <v>35</v>
      </c>
      <c r="M70" s="1">
        <v>338</v>
      </c>
      <c r="N70" s="1" t="s">
        <v>75</v>
      </c>
      <c r="O70" s="1" t="s">
        <v>23</v>
      </c>
      <c r="P70" s="1">
        <v>0</v>
      </c>
      <c r="Q70" s="1" t="s">
        <v>86</v>
      </c>
      <c r="R70" t="str">
        <f t="shared" si="1"/>
        <v>N</v>
      </c>
    </row>
    <row r="71" spans="1:18" x14ac:dyDescent="0.3">
      <c r="A71" s="2" t="s">
        <v>152</v>
      </c>
      <c r="B71" s="2">
        <v>33</v>
      </c>
      <c r="C71" s="2" t="s">
        <v>60</v>
      </c>
      <c r="D71" s="2" t="s">
        <v>19</v>
      </c>
      <c r="E71" s="2">
        <v>2012</v>
      </c>
      <c r="F71" s="2" t="s">
        <v>73</v>
      </c>
      <c r="G71" s="2" t="s">
        <v>74</v>
      </c>
      <c r="H71" s="2">
        <v>24970</v>
      </c>
      <c r="I71" s="2">
        <v>13</v>
      </c>
      <c r="J71" s="2">
        <v>1</v>
      </c>
      <c r="K71" s="2">
        <v>2</v>
      </c>
      <c r="L71" s="2" t="s">
        <v>35</v>
      </c>
      <c r="M71" s="2">
        <v>724</v>
      </c>
      <c r="N71" s="2" t="s">
        <v>39</v>
      </c>
      <c r="O71" s="2" t="s">
        <v>67</v>
      </c>
      <c r="P71" s="2">
        <v>15000</v>
      </c>
      <c r="Q71" s="2" t="s">
        <v>41</v>
      </c>
      <c r="R71" t="str">
        <f t="shared" si="1"/>
        <v>Y</v>
      </c>
    </row>
    <row r="72" spans="1:18" x14ac:dyDescent="0.3">
      <c r="A72" s="1" t="s">
        <v>153</v>
      </c>
      <c r="B72" s="1">
        <v>44</v>
      </c>
      <c r="C72" s="1" t="s">
        <v>18</v>
      </c>
      <c r="D72" s="1" t="s">
        <v>33</v>
      </c>
      <c r="E72" s="1">
        <v>2022</v>
      </c>
      <c r="F72" s="1" t="s">
        <v>27</v>
      </c>
      <c r="G72" s="1" t="s">
        <v>28</v>
      </c>
      <c r="H72" s="1">
        <v>17528</v>
      </c>
      <c r="I72" s="1">
        <v>25</v>
      </c>
      <c r="J72" s="1">
        <v>0</v>
      </c>
      <c r="K72" s="1">
        <v>1</v>
      </c>
      <c r="L72" s="1" t="s">
        <v>35</v>
      </c>
      <c r="M72" s="1">
        <v>676</v>
      </c>
      <c r="N72" s="1" t="s">
        <v>39</v>
      </c>
      <c r="O72" s="1" t="s">
        <v>30</v>
      </c>
      <c r="P72" s="1">
        <v>0</v>
      </c>
      <c r="Q72" s="1" t="s">
        <v>95</v>
      </c>
      <c r="R72" t="str">
        <f t="shared" si="1"/>
        <v>N</v>
      </c>
    </row>
    <row r="73" spans="1:18" x14ac:dyDescent="0.3">
      <c r="A73" s="2" t="s">
        <v>154</v>
      </c>
      <c r="B73" s="2">
        <v>35</v>
      </c>
      <c r="C73" s="2" t="s">
        <v>18</v>
      </c>
      <c r="D73" s="2" t="s">
        <v>33</v>
      </c>
      <c r="E73" s="2">
        <v>2014</v>
      </c>
      <c r="F73" s="2" t="s">
        <v>69</v>
      </c>
      <c r="G73" s="2" t="s">
        <v>88</v>
      </c>
      <c r="H73" s="2">
        <v>24027</v>
      </c>
      <c r="I73" s="2">
        <v>15</v>
      </c>
      <c r="J73" s="2">
        <v>0</v>
      </c>
      <c r="K73" s="2">
        <v>0</v>
      </c>
      <c r="L73" s="2" t="s">
        <v>29</v>
      </c>
      <c r="M73" s="2">
        <v>549</v>
      </c>
      <c r="N73" s="2" t="s">
        <v>22</v>
      </c>
      <c r="O73" s="2" t="s">
        <v>432</v>
      </c>
      <c r="P73" s="2">
        <v>500</v>
      </c>
      <c r="Q73" s="2" t="s">
        <v>37</v>
      </c>
      <c r="R73" t="str">
        <f t="shared" si="1"/>
        <v>Y</v>
      </c>
    </row>
    <row r="74" spans="1:18" x14ac:dyDescent="0.3">
      <c r="A74" s="1" t="s">
        <v>155</v>
      </c>
      <c r="B74" s="1">
        <v>25</v>
      </c>
      <c r="C74" s="1" t="s">
        <v>60</v>
      </c>
      <c r="D74" s="1" t="s">
        <v>33</v>
      </c>
      <c r="E74" s="1">
        <v>2015</v>
      </c>
      <c r="F74" s="1" t="s">
        <v>73</v>
      </c>
      <c r="G74" s="1" t="s">
        <v>74</v>
      </c>
      <c r="H74" s="1">
        <v>19817</v>
      </c>
      <c r="I74" s="1">
        <v>5</v>
      </c>
      <c r="J74" s="1">
        <v>0</v>
      </c>
      <c r="K74" s="1">
        <v>1</v>
      </c>
      <c r="L74" s="1" t="s">
        <v>35</v>
      </c>
      <c r="M74" s="1">
        <v>526</v>
      </c>
      <c r="N74" s="1" t="s">
        <v>39</v>
      </c>
      <c r="O74" s="1" t="s">
        <v>90</v>
      </c>
      <c r="P74" s="1">
        <v>1200</v>
      </c>
      <c r="Q74" s="1" t="s">
        <v>126</v>
      </c>
      <c r="R74" t="str">
        <f t="shared" si="1"/>
        <v>Y</v>
      </c>
    </row>
    <row r="75" spans="1:18" x14ac:dyDescent="0.3">
      <c r="A75" s="2" t="s">
        <v>156</v>
      </c>
      <c r="B75" s="2">
        <v>59</v>
      </c>
      <c r="C75" s="2" t="s">
        <v>18</v>
      </c>
      <c r="D75" s="2" t="s">
        <v>33</v>
      </c>
      <c r="E75" s="2">
        <v>2015</v>
      </c>
      <c r="F75" s="2" t="s">
        <v>46</v>
      </c>
      <c r="G75" s="2" t="s">
        <v>47</v>
      </c>
      <c r="H75" s="2">
        <v>6537</v>
      </c>
      <c r="I75" s="2">
        <v>40</v>
      </c>
      <c r="J75" s="2">
        <v>2</v>
      </c>
      <c r="K75" s="2">
        <v>1</v>
      </c>
      <c r="L75" s="2" t="s">
        <v>35</v>
      </c>
      <c r="M75" s="2">
        <v>382</v>
      </c>
      <c r="N75" s="2" t="s">
        <v>75</v>
      </c>
      <c r="O75" s="2" t="s">
        <v>432</v>
      </c>
      <c r="P75" s="2">
        <v>0</v>
      </c>
      <c r="Q75" s="2" t="s">
        <v>37</v>
      </c>
      <c r="R75" t="str">
        <f t="shared" si="1"/>
        <v>N</v>
      </c>
    </row>
    <row r="76" spans="1:18" x14ac:dyDescent="0.3">
      <c r="A76" s="1" t="s">
        <v>157</v>
      </c>
      <c r="B76" s="1">
        <v>26</v>
      </c>
      <c r="C76" s="1" t="s">
        <v>18</v>
      </c>
      <c r="D76" s="1" t="s">
        <v>85</v>
      </c>
      <c r="E76" s="1">
        <v>2012</v>
      </c>
      <c r="F76" s="1" t="s">
        <v>20</v>
      </c>
      <c r="G76" s="1" t="s">
        <v>50</v>
      </c>
      <c r="H76" s="1">
        <v>17867</v>
      </c>
      <c r="I76" s="1">
        <v>6</v>
      </c>
      <c r="J76" s="1">
        <v>1</v>
      </c>
      <c r="K76" s="1">
        <v>1</v>
      </c>
      <c r="L76" s="1" t="s">
        <v>35</v>
      </c>
      <c r="M76" s="1">
        <v>417</v>
      </c>
      <c r="N76" s="1" t="s">
        <v>39</v>
      </c>
      <c r="O76" s="1" t="s">
        <v>62</v>
      </c>
      <c r="P76" s="1">
        <v>500</v>
      </c>
      <c r="Q76" s="1" t="s">
        <v>48</v>
      </c>
      <c r="R76" t="str">
        <f t="shared" si="1"/>
        <v>Y</v>
      </c>
    </row>
    <row r="77" spans="1:18" x14ac:dyDescent="0.3">
      <c r="A77" s="2" t="s">
        <v>158</v>
      </c>
      <c r="B77" s="2">
        <v>46</v>
      </c>
      <c r="C77" s="2" t="s">
        <v>18</v>
      </c>
      <c r="D77" s="2" t="s">
        <v>26</v>
      </c>
      <c r="E77" s="2">
        <v>2010</v>
      </c>
      <c r="F77" s="2" t="s">
        <v>73</v>
      </c>
      <c r="G77" s="2" t="s">
        <v>74</v>
      </c>
      <c r="H77" s="2">
        <v>16631</v>
      </c>
      <c r="I77" s="2">
        <v>30</v>
      </c>
      <c r="J77" s="2">
        <v>0</v>
      </c>
      <c r="K77" s="2">
        <v>1</v>
      </c>
      <c r="L77" s="2" t="s">
        <v>29</v>
      </c>
      <c r="M77" s="2">
        <v>561</v>
      </c>
      <c r="N77" s="2" t="s">
        <v>75</v>
      </c>
      <c r="O77" s="2" t="s">
        <v>43</v>
      </c>
      <c r="P77" s="2">
        <v>15000</v>
      </c>
      <c r="Q77" s="2" t="s">
        <v>37</v>
      </c>
      <c r="R77" t="str">
        <f t="shared" si="1"/>
        <v>Y</v>
      </c>
    </row>
    <row r="78" spans="1:18" x14ac:dyDescent="0.3">
      <c r="A78" s="1" t="s">
        <v>159</v>
      </c>
      <c r="B78" s="1">
        <v>23</v>
      </c>
      <c r="C78" s="1" t="s">
        <v>18</v>
      </c>
      <c r="D78" s="1" t="s">
        <v>33</v>
      </c>
      <c r="E78" s="1">
        <v>2013</v>
      </c>
      <c r="F78" s="1" t="s">
        <v>69</v>
      </c>
      <c r="G78" s="1" t="s">
        <v>34</v>
      </c>
      <c r="H78" s="1">
        <v>7263</v>
      </c>
      <c r="I78" s="1">
        <v>3</v>
      </c>
      <c r="J78" s="1">
        <v>0</v>
      </c>
      <c r="K78" s="1">
        <v>2</v>
      </c>
      <c r="L78" s="1" t="s">
        <v>35</v>
      </c>
      <c r="M78" s="1">
        <v>637</v>
      </c>
      <c r="N78" s="1" t="s">
        <v>39</v>
      </c>
      <c r="O78" s="1" t="s">
        <v>67</v>
      </c>
      <c r="P78" s="1">
        <v>7500</v>
      </c>
      <c r="Q78" s="1" t="s">
        <v>54</v>
      </c>
      <c r="R78" t="str">
        <f t="shared" si="1"/>
        <v>Y</v>
      </c>
    </row>
    <row r="79" spans="1:18" x14ac:dyDescent="0.3">
      <c r="A79" s="2" t="s">
        <v>160</v>
      </c>
      <c r="B79" s="2">
        <v>73</v>
      </c>
      <c r="C79" s="2" t="s">
        <v>60</v>
      </c>
      <c r="D79" s="2" t="s">
        <v>26</v>
      </c>
      <c r="E79" s="2">
        <v>2023</v>
      </c>
      <c r="F79" s="2" t="s">
        <v>69</v>
      </c>
      <c r="G79" s="2" t="s">
        <v>34</v>
      </c>
      <c r="H79" s="2">
        <v>22674</v>
      </c>
      <c r="I79" s="2">
        <v>55</v>
      </c>
      <c r="J79" s="2">
        <v>0</v>
      </c>
      <c r="K79" s="2">
        <v>0</v>
      </c>
      <c r="L79" s="2" t="s">
        <v>35</v>
      </c>
      <c r="M79" s="2">
        <v>819</v>
      </c>
      <c r="N79" s="2" t="s">
        <v>22</v>
      </c>
      <c r="O79" s="2" t="s">
        <v>43</v>
      </c>
      <c r="P79" s="2">
        <v>15000</v>
      </c>
      <c r="Q79" s="2" t="s">
        <v>142</v>
      </c>
      <c r="R79" t="str">
        <f t="shared" si="1"/>
        <v>Y</v>
      </c>
    </row>
    <row r="80" spans="1:18" x14ac:dyDescent="0.3">
      <c r="A80" s="1" t="s">
        <v>161</v>
      </c>
      <c r="B80" s="1">
        <v>72</v>
      </c>
      <c r="C80" s="1" t="s">
        <v>18</v>
      </c>
      <c r="D80" s="1" t="s">
        <v>85</v>
      </c>
      <c r="E80" s="1">
        <v>2017</v>
      </c>
      <c r="F80" s="1" t="s">
        <v>27</v>
      </c>
      <c r="G80" s="1" t="s">
        <v>28</v>
      </c>
      <c r="H80" s="1">
        <v>12128</v>
      </c>
      <c r="I80" s="1">
        <v>52</v>
      </c>
      <c r="J80" s="1">
        <v>0</v>
      </c>
      <c r="K80" s="1">
        <v>1</v>
      </c>
      <c r="L80" s="1" t="s">
        <v>35</v>
      </c>
      <c r="M80" s="1">
        <v>326</v>
      </c>
      <c r="N80" s="1" t="s">
        <v>39</v>
      </c>
      <c r="O80" s="1" t="s">
        <v>40</v>
      </c>
      <c r="P80" s="1">
        <v>0</v>
      </c>
      <c r="Q80" s="1" t="s">
        <v>98</v>
      </c>
      <c r="R80" t="str">
        <f t="shared" si="1"/>
        <v>N</v>
      </c>
    </row>
    <row r="81" spans="1:18" x14ac:dyDescent="0.3">
      <c r="A81" s="2" t="s">
        <v>162</v>
      </c>
      <c r="B81" s="2">
        <v>35</v>
      </c>
      <c r="C81" s="2" t="s">
        <v>60</v>
      </c>
      <c r="D81" s="2" t="s">
        <v>85</v>
      </c>
      <c r="E81" s="2">
        <v>2010</v>
      </c>
      <c r="F81" s="2" t="s">
        <v>27</v>
      </c>
      <c r="G81" s="2" t="s">
        <v>28</v>
      </c>
      <c r="H81" s="2">
        <v>8944</v>
      </c>
      <c r="I81" s="2">
        <v>18</v>
      </c>
      <c r="J81" s="2">
        <v>1</v>
      </c>
      <c r="K81" s="2">
        <v>3</v>
      </c>
      <c r="L81" s="2" t="s">
        <v>29</v>
      </c>
      <c r="M81" s="2">
        <v>371</v>
      </c>
      <c r="N81" s="2" t="s">
        <v>22</v>
      </c>
      <c r="O81" s="2" t="s">
        <v>90</v>
      </c>
      <c r="P81" s="2">
        <v>0</v>
      </c>
      <c r="Q81" s="2" t="s">
        <v>103</v>
      </c>
      <c r="R81" t="str">
        <f t="shared" si="1"/>
        <v>N</v>
      </c>
    </row>
    <row r="82" spans="1:18" x14ac:dyDescent="0.3">
      <c r="A82" s="1" t="s">
        <v>163</v>
      </c>
      <c r="B82" s="1">
        <v>31</v>
      </c>
      <c r="C82" s="1" t="s">
        <v>60</v>
      </c>
      <c r="D82" s="1" t="s">
        <v>26</v>
      </c>
      <c r="E82" s="1">
        <v>2014</v>
      </c>
      <c r="F82" s="1" t="s">
        <v>27</v>
      </c>
      <c r="G82" s="1" t="s">
        <v>28</v>
      </c>
      <c r="H82" s="1">
        <v>15125</v>
      </c>
      <c r="I82" s="1">
        <v>13</v>
      </c>
      <c r="J82" s="1">
        <v>2</v>
      </c>
      <c r="K82" s="1">
        <v>1</v>
      </c>
      <c r="L82" s="1" t="s">
        <v>35</v>
      </c>
      <c r="M82" s="1">
        <v>386</v>
      </c>
      <c r="N82" s="1" t="s">
        <v>22</v>
      </c>
      <c r="O82" s="1" t="s">
        <v>43</v>
      </c>
      <c r="P82" s="1">
        <v>0</v>
      </c>
      <c r="Q82" s="1" t="s">
        <v>41</v>
      </c>
      <c r="R82" t="str">
        <f t="shared" si="1"/>
        <v>N</v>
      </c>
    </row>
    <row r="83" spans="1:18" x14ac:dyDescent="0.3">
      <c r="A83" s="2" t="s">
        <v>164</v>
      </c>
      <c r="B83" s="2">
        <v>21</v>
      </c>
      <c r="C83" s="2" t="s">
        <v>60</v>
      </c>
      <c r="D83" s="2" t="s">
        <v>33</v>
      </c>
      <c r="E83" s="2">
        <v>2008</v>
      </c>
      <c r="F83" s="2" t="s">
        <v>73</v>
      </c>
      <c r="G83" s="2" t="s">
        <v>83</v>
      </c>
      <c r="H83" s="2">
        <v>16894</v>
      </c>
      <c r="I83" s="2">
        <v>2</v>
      </c>
      <c r="J83" s="2">
        <v>1</v>
      </c>
      <c r="K83" s="2">
        <v>1</v>
      </c>
      <c r="L83" s="2" t="s">
        <v>29</v>
      </c>
      <c r="M83" s="2">
        <v>579</v>
      </c>
      <c r="N83" s="2" t="s">
        <v>22</v>
      </c>
      <c r="O83" s="2" t="s">
        <v>62</v>
      </c>
      <c r="P83" s="2">
        <v>0</v>
      </c>
      <c r="Q83" s="2" t="s">
        <v>54</v>
      </c>
      <c r="R83" t="str">
        <f t="shared" si="1"/>
        <v>N</v>
      </c>
    </row>
    <row r="84" spans="1:18" x14ac:dyDescent="0.3">
      <c r="A84" s="1" t="s">
        <v>165</v>
      </c>
      <c r="B84" s="1">
        <v>45</v>
      </c>
      <c r="C84" s="1" t="s">
        <v>18</v>
      </c>
      <c r="D84" s="1" t="s">
        <v>85</v>
      </c>
      <c r="E84" s="1">
        <v>2021</v>
      </c>
      <c r="F84" s="1" t="s">
        <v>20</v>
      </c>
      <c r="G84" s="1" t="s">
        <v>50</v>
      </c>
      <c r="H84" s="1">
        <v>20266</v>
      </c>
      <c r="I84" s="1">
        <v>27</v>
      </c>
      <c r="J84" s="1">
        <v>0</v>
      </c>
      <c r="K84" s="1">
        <v>0</v>
      </c>
      <c r="L84" s="1" t="s">
        <v>29</v>
      </c>
      <c r="M84" s="1">
        <v>356</v>
      </c>
      <c r="N84" s="1" t="s">
        <v>22</v>
      </c>
      <c r="O84" s="1" t="s">
        <v>36</v>
      </c>
      <c r="P84" s="1">
        <v>1200</v>
      </c>
      <c r="Q84" s="1" t="s">
        <v>99</v>
      </c>
      <c r="R84" t="str">
        <f t="shared" si="1"/>
        <v>Y</v>
      </c>
    </row>
    <row r="85" spans="1:18" x14ac:dyDescent="0.3">
      <c r="A85" s="2" t="s">
        <v>166</v>
      </c>
      <c r="B85" s="2">
        <v>53</v>
      </c>
      <c r="C85" s="2" t="s">
        <v>60</v>
      </c>
      <c r="D85" s="2" t="s">
        <v>85</v>
      </c>
      <c r="E85" s="2">
        <v>2002</v>
      </c>
      <c r="F85" s="2" t="s">
        <v>46</v>
      </c>
      <c r="G85" s="2" t="s">
        <v>400</v>
      </c>
      <c r="H85" s="2">
        <v>4386</v>
      </c>
      <c r="I85" s="2">
        <v>34</v>
      </c>
      <c r="J85" s="2">
        <v>0</v>
      </c>
      <c r="K85" s="2">
        <v>1</v>
      </c>
      <c r="L85" s="2" t="s">
        <v>35</v>
      </c>
      <c r="M85" s="2">
        <v>620</v>
      </c>
      <c r="N85" s="2" t="s">
        <v>39</v>
      </c>
      <c r="O85" s="2" t="s">
        <v>431</v>
      </c>
      <c r="P85" s="2">
        <v>7500</v>
      </c>
      <c r="Q85" s="2" t="s">
        <v>48</v>
      </c>
      <c r="R85" t="str">
        <f t="shared" si="1"/>
        <v>Y</v>
      </c>
    </row>
    <row r="86" spans="1:18" x14ac:dyDescent="0.3">
      <c r="A86" s="1" t="s">
        <v>167</v>
      </c>
      <c r="B86" s="1">
        <v>36</v>
      </c>
      <c r="C86" s="1" t="s">
        <v>18</v>
      </c>
      <c r="D86" s="1" t="s">
        <v>26</v>
      </c>
      <c r="E86" s="1">
        <v>2000</v>
      </c>
      <c r="F86" s="1" t="s">
        <v>27</v>
      </c>
      <c r="G86" s="1" t="s">
        <v>28</v>
      </c>
      <c r="H86" s="1">
        <v>23254</v>
      </c>
      <c r="I86" s="1">
        <v>17</v>
      </c>
      <c r="J86" s="1">
        <v>2</v>
      </c>
      <c r="K86" s="1">
        <v>1</v>
      </c>
      <c r="L86" s="1" t="s">
        <v>35</v>
      </c>
      <c r="M86" s="1">
        <v>747</v>
      </c>
      <c r="N86" s="1" t="s">
        <v>22</v>
      </c>
      <c r="O86" s="1" t="s">
        <v>36</v>
      </c>
      <c r="P86" s="1">
        <v>7500</v>
      </c>
      <c r="Q86" s="1" t="s">
        <v>80</v>
      </c>
      <c r="R86" t="str">
        <f t="shared" si="1"/>
        <v>Y</v>
      </c>
    </row>
    <row r="87" spans="1:18" x14ac:dyDescent="0.3">
      <c r="A87" s="2" t="s">
        <v>168</v>
      </c>
      <c r="B87" s="2">
        <v>43</v>
      </c>
      <c r="C87" s="2" t="s">
        <v>60</v>
      </c>
      <c r="D87" s="2" t="s">
        <v>33</v>
      </c>
      <c r="E87" s="2">
        <v>2012</v>
      </c>
      <c r="F87" s="2" t="s">
        <v>27</v>
      </c>
      <c r="G87" s="2" t="s">
        <v>53</v>
      </c>
      <c r="H87" s="2">
        <v>14125</v>
      </c>
      <c r="I87" s="2">
        <v>26</v>
      </c>
      <c r="J87" s="2">
        <v>0</v>
      </c>
      <c r="K87" s="2">
        <v>0</v>
      </c>
      <c r="L87" s="2" t="s">
        <v>35</v>
      </c>
      <c r="M87" s="2">
        <v>822</v>
      </c>
      <c r="N87" s="2" t="s">
        <v>39</v>
      </c>
      <c r="O87" s="2" t="s">
        <v>67</v>
      </c>
      <c r="P87" s="2">
        <v>500</v>
      </c>
      <c r="Q87" s="2" t="s">
        <v>54</v>
      </c>
      <c r="R87" t="str">
        <f t="shared" si="1"/>
        <v>Y</v>
      </c>
    </row>
    <row r="88" spans="1:18" x14ac:dyDescent="0.3">
      <c r="A88" s="1" t="s">
        <v>169</v>
      </c>
      <c r="B88" s="1">
        <v>40</v>
      </c>
      <c r="C88" s="1" t="s">
        <v>60</v>
      </c>
      <c r="D88" s="1" t="s">
        <v>19</v>
      </c>
      <c r="E88" s="1">
        <v>2007</v>
      </c>
      <c r="F88" s="1" t="s">
        <v>69</v>
      </c>
      <c r="G88" s="1" t="s">
        <v>88</v>
      </c>
      <c r="H88" s="1">
        <v>11387</v>
      </c>
      <c r="I88" s="1">
        <v>23</v>
      </c>
      <c r="J88" s="1">
        <v>0</v>
      </c>
      <c r="K88" s="1">
        <v>2</v>
      </c>
      <c r="L88" s="1" t="s">
        <v>35</v>
      </c>
      <c r="M88" s="1">
        <v>377</v>
      </c>
      <c r="N88" s="1" t="s">
        <v>22</v>
      </c>
      <c r="O88" s="1" t="s">
        <v>23</v>
      </c>
      <c r="P88" s="1">
        <v>15000</v>
      </c>
      <c r="Q88" s="1" t="s">
        <v>80</v>
      </c>
      <c r="R88" t="str">
        <f t="shared" si="1"/>
        <v>Y</v>
      </c>
    </row>
    <row r="89" spans="1:18" x14ac:dyDescent="0.3">
      <c r="A89" s="2" t="s">
        <v>170</v>
      </c>
      <c r="B89" s="2">
        <v>66</v>
      </c>
      <c r="C89" s="2" t="s">
        <v>60</v>
      </c>
      <c r="D89" s="2" t="s">
        <v>26</v>
      </c>
      <c r="E89" s="2">
        <v>2021</v>
      </c>
      <c r="F89" s="2" t="s">
        <v>20</v>
      </c>
      <c r="G89" s="2" t="s">
        <v>50</v>
      </c>
      <c r="H89" s="2">
        <v>23552</v>
      </c>
      <c r="I89" s="2">
        <v>48</v>
      </c>
      <c r="J89" s="2">
        <v>0</v>
      </c>
      <c r="K89" s="2">
        <v>1</v>
      </c>
      <c r="L89" s="2" t="s">
        <v>35</v>
      </c>
      <c r="M89" s="2">
        <v>780</v>
      </c>
      <c r="N89" s="2" t="s">
        <v>75</v>
      </c>
      <c r="O89" s="2" t="s">
        <v>40</v>
      </c>
      <c r="P89" s="2">
        <v>1200</v>
      </c>
      <c r="Q89" s="2" t="s">
        <v>80</v>
      </c>
      <c r="R89" t="str">
        <f t="shared" si="1"/>
        <v>Y</v>
      </c>
    </row>
    <row r="90" spans="1:18" x14ac:dyDescent="0.3">
      <c r="A90" s="1" t="s">
        <v>171</v>
      </c>
      <c r="B90" s="1">
        <v>21</v>
      </c>
      <c r="C90" s="1" t="s">
        <v>18</v>
      </c>
      <c r="D90" s="1" t="s">
        <v>33</v>
      </c>
      <c r="E90" s="1">
        <v>2009</v>
      </c>
      <c r="F90" s="1" t="s">
        <v>73</v>
      </c>
      <c r="G90" s="1" t="s">
        <v>74</v>
      </c>
      <c r="H90" s="1">
        <v>4232</v>
      </c>
      <c r="I90" s="1">
        <v>5</v>
      </c>
      <c r="J90" s="1">
        <v>0</v>
      </c>
      <c r="K90" s="1">
        <v>1</v>
      </c>
      <c r="L90" s="1" t="s">
        <v>35</v>
      </c>
      <c r="M90" s="1">
        <v>392</v>
      </c>
      <c r="N90" s="1" t="s">
        <v>39</v>
      </c>
      <c r="O90" s="1" t="s">
        <v>432</v>
      </c>
      <c r="P90" s="1">
        <v>7500</v>
      </c>
      <c r="Q90" s="1" t="s">
        <v>126</v>
      </c>
      <c r="R90" t="str">
        <f t="shared" si="1"/>
        <v>Y</v>
      </c>
    </row>
    <row r="91" spans="1:18" x14ac:dyDescent="0.3">
      <c r="A91" s="2" t="s">
        <v>172</v>
      </c>
      <c r="B91" s="2">
        <v>55</v>
      </c>
      <c r="C91" s="2" t="s">
        <v>60</v>
      </c>
      <c r="D91" s="2" t="s">
        <v>33</v>
      </c>
      <c r="E91" s="2">
        <v>2014</v>
      </c>
      <c r="F91" s="2" t="s">
        <v>20</v>
      </c>
      <c r="G91" s="2" t="s">
        <v>21</v>
      </c>
      <c r="H91" s="2">
        <v>13535</v>
      </c>
      <c r="I91" s="2">
        <v>35</v>
      </c>
      <c r="J91" s="2">
        <v>1</v>
      </c>
      <c r="K91" s="2">
        <v>2</v>
      </c>
      <c r="L91" s="2" t="s">
        <v>35</v>
      </c>
      <c r="M91" s="2">
        <v>363</v>
      </c>
      <c r="N91" s="2" t="s">
        <v>75</v>
      </c>
      <c r="O91" s="2" t="s">
        <v>67</v>
      </c>
      <c r="P91" s="2">
        <v>3000</v>
      </c>
      <c r="Q91" s="2" t="s">
        <v>37</v>
      </c>
      <c r="R91" t="str">
        <f t="shared" si="1"/>
        <v>Y</v>
      </c>
    </row>
    <row r="92" spans="1:18" x14ac:dyDescent="0.3">
      <c r="A92" s="1" t="s">
        <v>173</v>
      </c>
      <c r="B92" s="1">
        <v>50</v>
      </c>
      <c r="C92" s="1" t="s">
        <v>60</v>
      </c>
      <c r="D92" s="1" t="s">
        <v>19</v>
      </c>
      <c r="E92" s="1">
        <v>2001</v>
      </c>
      <c r="F92" s="1" t="s">
        <v>65</v>
      </c>
      <c r="G92" s="1" t="s">
        <v>77</v>
      </c>
      <c r="H92" s="1">
        <v>17398</v>
      </c>
      <c r="I92" s="1">
        <v>30</v>
      </c>
      <c r="J92" s="1">
        <v>1</v>
      </c>
      <c r="K92" s="1">
        <v>2</v>
      </c>
      <c r="L92" s="1" t="s">
        <v>35</v>
      </c>
      <c r="M92" s="1">
        <v>672</v>
      </c>
      <c r="N92" s="1" t="s">
        <v>75</v>
      </c>
      <c r="O92" s="1" t="s">
        <v>40</v>
      </c>
      <c r="P92" s="1">
        <v>7500</v>
      </c>
      <c r="Q92" s="1" t="s">
        <v>48</v>
      </c>
      <c r="R92" t="str">
        <f t="shared" si="1"/>
        <v>Y</v>
      </c>
    </row>
    <row r="93" spans="1:18" x14ac:dyDescent="0.3">
      <c r="A93" s="2" t="s">
        <v>174</v>
      </c>
      <c r="B93" s="2">
        <v>67</v>
      </c>
      <c r="C93" s="2" t="s">
        <v>18</v>
      </c>
      <c r="D93" s="2" t="s">
        <v>33</v>
      </c>
      <c r="E93" s="2">
        <v>2020</v>
      </c>
      <c r="F93" s="2" t="s">
        <v>27</v>
      </c>
      <c r="G93" s="2" t="s">
        <v>28</v>
      </c>
      <c r="H93" s="2">
        <v>13803</v>
      </c>
      <c r="I93" s="2">
        <v>51</v>
      </c>
      <c r="J93" s="2">
        <v>1</v>
      </c>
      <c r="K93" s="2">
        <v>3</v>
      </c>
      <c r="L93" s="2" t="s">
        <v>29</v>
      </c>
      <c r="M93" s="2">
        <v>590</v>
      </c>
      <c r="N93" s="2" t="s">
        <v>75</v>
      </c>
      <c r="O93" s="2" t="s">
        <v>432</v>
      </c>
      <c r="P93" s="2">
        <v>0</v>
      </c>
      <c r="Q93" s="2" t="s">
        <v>58</v>
      </c>
      <c r="R93" t="str">
        <f t="shared" si="1"/>
        <v>N</v>
      </c>
    </row>
    <row r="94" spans="1:18" x14ac:dyDescent="0.3">
      <c r="A94" s="1" t="s">
        <v>175</v>
      </c>
      <c r="B94" s="1">
        <v>60</v>
      </c>
      <c r="C94" s="1" t="s">
        <v>60</v>
      </c>
      <c r="D94" s="1" t="s">
        <v>33</v>
      </c>
      <c r="E94" s="1">
        <v>2020</v>
      </c>
      <c r="F94" s="1" t="s">
        <v>46</v>
      </c>
      <c r="G94" s="1" t="s">
        <v>400</v>
      </c>
      <c r="H94" s="1">
        <v>14856</v>
      </c>
      <c r="I94" s="1">
        <v>44</v>
      </c>
      <c r="J94" s="1">
        <v>0</v>
      </c>
      <c r="K94" s="1">
        <v>1</v>
      </c>
      <c r="L94" s="1" t="s">
        <v>35</v>
      </c>
      <c r="M94" s="1">
        <v>519</v>
      </c>
      <c r="N94" s="1" t="s">
        <v>75</v>
      </c>
      <c r="O94" s="1" t="s">
        <v>23</v>
      </c>
      <c r="P94" s="1">
        <v>500</v>
      </c>
      <c r="Q94" s="1" t="s">
        <v>142</v>
      </c>
      <c r="R94" t="str">
        <f t="shared" si="1"/>
        <v>Y</v>
      </c>
    </row>
    <row r="95" spans="1:18" x14ac:dyDescent="0.3">
      <c r="A95" s="2" t="s">
        <v>176</v>
      </c>
      <c r="B95" s="2">
        <v>26</v>
      </c>
      <c r="C95" s="2" t="s">
        <v>18</v>
      </c>
      <c r="D95" s="2" t="s">
        <v>33</v>
      </c>
      <c r="E95" s="2">
        <v>2009</v>
      </c>
      <c r="F95" s="2" t="s">
        <v>69</v>
      </c>
      <c r="G95" s="2" t="s">
        <v>88</v>
      </c>
      <c r="H95" s="2">
        <v>24690</v>
      </c>
      <c r="I95" s="2">
        <v>8</v>
      </c>
      <c r="J95" s="2">
        <v>1</v>
      </c>
      <c r="K95" s="2">
        <v>0</v>
      </c>
      <c r="L95" s="2" t="s">
        <v>35</v>
      </c>
      <c r="M95" s="2">
        <v>685</v>
      </c>
      <c r="N95" s="2" t="s">
        <v>22</v>
      </c>
      <c r="O95" s="2" t="s">
        <v>43</v>
      </c>
      <c r="P95" s="2">
        <v>0</v>
      </c>
      <c r="Q95" s="2" t="s">
        <v>41</v>
      </c>
      <c r="R95" t="str">
        <f t="shared" si="1"/>
        <v>N</v>
      </c>
    </row>
    <row r="96" spans="1:18" x14ac:dyDescent="0.3">
      <c r="A96" s="1" t="s">
        <v>177</v>
      </c>
      <c r="B96" s="1">
        <v>69</v>
      </c>
      <c r="C96" s="1" t="s">
        <v>18</v>
      </c>
      <c r="D96" s="1" t="s">
        <v>26</v>
      </c>
      <c r="E96" s="1">
        <v>2001</v>
      </c>
      <c r="F96" s="1" t="s">
        <v>46</v>
      </c>
      <c r="G96" s="1" t="s">
        <v>47</v>
      </c>
      <c r="H96" s="1">
        <v>10783</v>
      </c>
      <c r="I96" s="1">
        <v>50</v>
      </c>
      <c r="J96" s="1">
        <v>1</v>
      </c>
      <c r="K96" s="1">
        <v>1</v>
      </c>
      <c r="L96" s="1" t="s">
        <v>29</v>
      </c>
      <c r="M96" s="1">
        <v>539</v>
      </c>
      <c r="N96" s="1" t="s">
        <v>39</v>
      </c>
      <c r="O96" s="1" t="s">
        <v>36</v>
      </c>
      <c r="P96" s="1">
        <v>1200</v>
      </c>
      <c r="Q96" s="1" t="s">
        <v>108</v>
      </c>
      <c r="R96" t="str">
        <f t="shared" si="1"/>
        <v>Y</v>
      </c>
    </row>
    <row r="97" spans="1:18" x14ac:dyDescent="0.3">
      <c r="A97" s="2" t="s">
        <v>178</v>
      </c>
      <c r="B97" s="2">
        <v>75</v>
      </c>
      <c r="C97" s="2" t="s">
        <v>18</v>
      </c>
      <c r="D97" s="2" t="s">
        <v>85</v>
      </c>
      <c r="E97" s="2">
        <v>2021</v>
      </c>
      <c r="F97" s="2" t="s">
        <v>20</v>
      </c>
      <c r="G97" s="2" t="s">
        <v>50</v>
      </c>
      <c r="H97" s="2">
        <v>18128</v>
      </c>
      <c r="I97" s="2">
        <v>57</v>
      </c>
      <c r="J97" s="2">
        <v>1</v>
      </c>
      <c r="K97" s="2">
        <v>2</v>
      </c>
      <c r="L97" s="2" t="s">
        <v>35</v>
      </c>
      <c r="M97" s="2">
        <v>728</v>
      </c>
      <c r="N97" s="2" t="s">
        <v>22</v>
      </c>
      <c r="O97" s="2" t="s">
        <v>36</v>
      </c>
      <c r="P97" s="2">
        <v>0</v>
      </c>
      <c r="Q97" s="2" t="s">
        <v>63</v>
      </c>
      <c r="R97" t="str">
        <f t="shared" si="1"/>
        <v>N</v>
      </c>
    </row>
    <row r="98" spans="1:18" x14ac:dyDescent="0.3">
      <c r="A98" s="1" t="s">
        <v>179</v>
      </c>
      <c r="B98" s="1">
        <v>21</v>
      </c>
      <c r="C98" s="1" t="s">
        <v>60</v>
      </c>
      <c r="D98" s="1" t="s">
        <v>26</v>
      </c>
      <c r="E98" s="1">
        <v>2011</v>
      </c>
      <c r="F98" s="1" t="s">
        <v>79</v>
      </c>
      <c r="G98" s="1" t="s">
        <v>56</v>
      </c>
      <c r="H98" s="1">
        <v>19905</v>
      </c>
      <c r="I98" s="1">
        <v>5</v>
      </c>
      <c r="J98" s="1">
        <v>0</v>
      </c>
      <c r="K98" s="1">
        <v>0</v>
      </c>
      <c r="L98" s="1" t="s">
        <v>35</v>
      </c>
      <c r="M98" s="1">
        <v>579</v>
      </c>
      <c r="N98" s="1" t="s">
        <v>75</v>
      </c>
      <c r="O98" s="1" t="s">
        <v>62</v>
      </c>
      <c r="P98" s="1">
        <v>0</v>
      </c>
      <c r="Q98" s="1" t="s">
        <v>48</v>
      </c>
      <c r="R98" t="str">
        <f t="shared" si="1"/>
        <v>N</v>
      </c>
    </row>
    <row r="99" spans="1:18" x14ac:dyDescent="0.3">
      <c r="A99" s="2" t="s">
        <v>180</v>
      </c>
      <c r="B99" s="2">
        <v>23</v>
      </c>
      <c r="C99" s="2" t="s">
        <v>18</v>
      </c>
      <c r="D99" s="2" t="s">
        <v>26</v>
      </c>
      <c r="E99" s="2">
        <v>2011</v>
      </c>
      <c r="F99" s="2" t="s">
        <v>69</v>
      </c>
      <c r="G99" s="2" t="s">
        <v>34</v>
      </c>
      <c r="H99" s="2">
        <v>4745</v>
      </c>
      <c r="I99" s="2">
        <v>4</v>
      </c>
      <c r="J99" s="2">
        <v>1</v>
      </c>
      <c r="K99" s="2">
        <v>1</v>
      </c>
      <c r="L99" s="2" t="s">
        <v>35</v>
      </c>
      <c r="M99" s="2">
        <v>695</v>
      </c>
      <c r="N99" s="2" t="s">
        <v>22</v>
      </c>
      <c r="O99" s="2" t="s">
        <v>30</v>
      </c>
      <c r="P99" s="2">
        <v>500</v>
      </c>
      <c r="Q99" s="2" t="s">
        <v>24</v>
      </c>
      <c r="R99" t="str">
        <f t="shared" si="1"/>
        <v>Y</v>
      </c>
    </row>
    <row r="100" spans="1:18" x14ac:dyDescent="0.3">
      <c r="A100" s="1" t="s">
        <v>181</v>
      </c>
      <c r="B100" s="1">
        <v>38</v>
      </c>
      <c r="C100" s="1" t="s">
        <v>18</v>
      </c>
      <c r="D100" s="1" t="s">
        <v>85</v>
      </c>
      <c r="E100" s="1">
        <v>2004</v>
      </c>
      <c r="F100" s="1" t="s">
        <v>65</v>
      </c>
      <c r="G100" s="1" t="s">
        <v>61</v>
      </c>
      <c r="H100" s="1">
        <v>12400</v>
      </c>
      <c r="I100" s="1">
        <v>19</v>
      </c>
      <c r="J100" s="1">
        <v>2</v>
      </c>
      <c r="K100" s="1">
        <v>0</v>
      </c>
      <c r="L100" s="1" t="s">
        <v>29</v>
      </c>
      <c r="M100" s="1">
        <v>759</v>
      </c>
      <c r="N100" s="1" t="s">
        <v>39</v>
      </c>
      <c r="O100" s="1" t="s">
        <v>90</v>
      </c>
      <c r="P100" s="1">
        <v>0</v>
      </c>
      <c r="Q100" s="1" t="s">
        <v>24</v>
      </c>
      <c r="R100" t="str">
        <f t="shared" si="1"/>
        <v>N</v>
      </c>
    </row>
    <row r="101" spans="1:18" x14ac:dyDescent="0.3">
      <c r="A101" s="2" t="s">
        <v>182</v>
      </c>
      <c r="B101" s="2">
        <v>34</v>
      </c>
      <c r="C101" s="2" t="s">
        <v>18</v>
      </c>
      <c r="D101" s="2" t="s">
        <v>19</v>
      </c>
      <c r="E101" s="2">
        <v>2017</v>
      </c>
      <c r="F101" s="2" t="s">
        <v>20</v>
      </c>
      <c r="G101" s="2" t="s">
        <v>50</v>
      </c>
      <c r="H101" s="2">
        <v>6643</v>
      </c>
      <c r="I101" s="2">
        <v>16</v>
      </c>
      <c r="J101" s="2">
        <v>0</v>
      </c>
      <c r="K101" s="2">
        <v>1</v>
      </c>
      <c r="L101" s="2" t="s">
        <v>35</v>
      </c>
      <c r="M101" s="2">
        <v>348</v>
      </c>
      <c r="N101" s="2" t="s">
        <v>22</v>
      </c>
      <c r="O101" s="2" t="s">
        <v>431</v>
      </c>
      <c r="P101" s="2">
        <v>15000</v>
      </c>
      <c r="Q101" s="2" t="s">
        <v>37</v>
      </c>
      <c r="R101" t="str">
        <f t="shared" si="1"/>
        <v>Y</v>
      </c>
    </row>
    <row r="102" spans="1:18" x14ac:dyDescent="0.3">
      <c r="A102" s="1" t="s">
        <v>183</v>
      </c>
      <c r="B102" s="1">
        <v>22</v>
      </c>
      <c r="C102" s="1" t="s">
        <v>60</v>
      </c>
      <c r="D102" s="1" t="s">
        <v>33</v>
      </c>
      <c r="E102" s="1">
        <v>2020</v>
      </c>
      <c r="F102" s="1" t="s">
        <v>79</v>
      </c>
      <c r="G102" s="1" t="s">
        <v>184</v>
      </c>
      <c r="H102" s="1">
        <v>10927</v>
      </c>
      <c r="I102" s="1">
        <v>29</v>
      </c>
      <c r="J102" s="1">
        <v>0</v>
      </c>
      <c r="K102" s="1">
        <v>1</v>
      </c>
      <c r="L102" s="1" t="s">
        <v>35</v>
      </c>
      <c r="M102" s="1">
        <v>661</v>
      </c>
      <c r="N102" s="1" t="s">
        <v>22</v>
      </c>
      <c r="O102" s="1" t="s">
        <v>432</v>
      </c>
      <c r="P102" s="1">
        <v>7500</v>
      </c>
      <c r="Q102" s="1" t="s">
        <v>98</v>
      </c>
      <c r="R102" t="str">
        <f t="shared" si="1"/>
        <v>Y</v>
      </c>
    </row>
    <row r="103" spans="1:18" x14ac:dyDescent="0.3">
      <c r="A103" s="2" t="s">
        <v>185</v>
      </c>
      <c r="B103" s="2">
        <v>60</v>
      </c>
      <c r="C103" s="2" t="s">
        <v>60</v>
      </c>
      <c r="D103" s="2" t="s">
        <v>33</v>
      </c>
      <c r="E103" s="2">
        <v>2016</v>
      </c>
      <c r="F103" s="2" t="s">
        <v>27</v>
      </c>
      <c r="G103" s="2" t="s">
        <v>28</v>
      </c>
      <c r="H103" s="2">
        <v>20237</v>
      </c>
      <c r="I103" s="2">
        <v>40</v>
      </c>
      <c r="J103" s="2">
        <v>1</v>
      </c>
      <c r="K103" s="2">
        <v>2</v>
      </c>
      <c r="L103" s="2" t="s">
        <v>35</v>
      </c>
      <c r="M103" s="2">
        <v>320</v>
      </c>
      <c r="N103" s="2" t="s">
        <v>75</v>
      </c>
      <c r="O103" s="2" t="s">
        <v>23</v>
      </c>
      <c r="P103" s="2">
        <v>0</v>
      </c>
      <c r="Q103" s="2" t="s">
        <v>95</v>
      </c>
      <c r="R103" t="str">
        <f t="shared" si="1"/>
        <v>N</v>
      </c>
    </row>
    <row r="104" spans="1:18" x14ac:dyDescent="0.3">
      <c r="A104" s="1" t="s">
        <v>186</v>
      </c>
      <c r="B104" s="1">
        <v>41</v>
      </c>
      <c r="C104" s="1" t="s">
        <v>18</v>
      </c>
      <c r="D104" s="1" t="s">
        <v>33</v>
      </c>
      <c r="E104" s="1">
        <v>2011</v>
      </c>
      <c r="F104" s="1" t="s">
        <v>69</v>
      </c>
      <c r="G104" s="1" t="s">
        <v>34</v>
      </c>
      <c r="H104" s="1">
        <v>10901</v>
      </c>
      <c r="I104" s="1">
        <v>25</v>
      </c>
      <c r="J104" s="1">
        <v>1</v>
      </c>
      <c r="K104" s="1">
        <v>3</v>
      </c>
      <c r="L104" s="1" t="s">
        <v>29</v>
      </c>
      <c r="M104" s="1">
        <v>436</v>
      </c>
      <c r="N104" s="1" t="s">
        <v>22</v>
      </c>
      <c r="O104" s="1" t="s">
        <v>30</v>
      </c>
      <c r="P104" s="1">
        <v>3000</v>
      </c>
      <c r="Q104" s="1" t="s">
        <v>98</v>
      </c>
      <c r="R104" t="str">
        <f t="shared" si="1"/>
        <v>Y</v>
      </c>
    </row>
    <row r="105" spans="1:18" x14ac:dyDescent="0.3">
      <c r="A105" s="2" t="s">
        <v>187</v>
      </c>
      <c r="B105" s="2">
        <v>71</v>
      </c>
      <c r="C105" s="2" t="s">
        <v>60</v>
      </c>
      <c r="D105" s="2" t="s">
        <v>26</v>
      </c>
      <c r="E105" s="2">
        <v>2022</v>
      </c>
      <c r="F105" s="2" t="s">
        <v>73</v>
      </c>
      <c r="G105" s="2" t="s">
        <v>83</v>
      </c>
      <c r="H105" s="2">
        <v>8972</v>
      </c>
      <c r="I105" s="2">
        <v>54</v>
      </c>
      <c r="J105" s="2">
        <v>0</v>
      </c>
      <c r="K105" s="2">
        <v>3</v>
      </c>
      <c r="L105" s="2" t="s">
        <v>29</v>
      </c>
      <c r="M105" s="2">
        <v>337</v>
      </c>
      <c r="N105" s="2" t="s">
        <v>75</v>
      </c>
      <c r="O105" s="2" t="s">
        <v>36</v>
      </c>
      <c r="P105" s="2">
        <v>0</v>
      </c>
      <c r="Q105" s="2" t="s">
        <v>99</v>
      </c>
      <c r="R105" t="str">
        <f t="shared" si="1"/>
        <v>N</v>
      </c>
    </row>
    <row r="106" spans="1:18" x14ac:dyDescent="0.3">
      <c r="A106" s="1" t="s">
        <v>188</v>
      </c>
      <c r="B106" s="1">
        <v>74</v>
      </c>
      <c r="C106" s="1" t="s">
        <v>18</v>
      </c>
      <c r="D106" s="1" t="s">
        <v>85</v>
      </c>
      <c r="E106" s="1">
        <v>2009</v>
      </c>
      <c r="F106" s="1" t="s">
        <v>79</v>
      </c>
      <c r="G106" s="1" t="s">
        <v>129</v>
      </c>
      <c r="H106" s="1">
        <v>20794</v>
      </c>
      <c r="I106" s="1">
        <v>55</v>
      </c>
      <c r="J106" s="1">
        <v>0</v>
      </c>
      <c r="K106" s="1">
        <v>0</v>
      </c>
      <c r="L106" s="1" t="s">
        <v>35</v>
      </c>
      <c r="M106" s="1">
        <v>592</v>
      </c>
      <c r="N106" s="1" t="s">
        <v>75</v>
      </c>
      <c r="O106" s="1" t="s">
        <v>90</v>
      </c>
      <c r="P106" s="1">
        <v>3000</v>
      </c>
      <c r="Q106" s="1" t="s">
        <v>63</v>
      </c>
      <c r="R106" t="str">
        <f t="shared" si="1"/>
        <v>Y</v>
      </c>
    </row>
    <row r="107" spans="1:18" x14ac:dyDescent="0.3">
      <c r="A107" s="2" t="s">
        <v>189</v>
      </c>
      <c r="B107" s="2">
        <v>25</v>
      </c>
      <c r="C107" s="2" t="s">
        <v>18</v>
      </c>
      <c r="D107" s="2" t="s">
        <v>26</v>
      </c>
      <c r="E107" s="2">
        <v>2012</v>
      </c>
      <c r="F107" s="2" t="s">
        <v>73</v>
      </c>
      <c r="G107" s="2" t="s">
        <v>74</v>
      </c>
      <c r="H107" s="2">
        <v>14109</v>
      </c>
      <c r="I107" s="2">
        <v>8</v>
      </c>
      <c r="J107" s="2">
        <v>1</v>
      </c>
      <c r="K107" s="2">
        <v>3</v>
      </c>
      <c r="L107" s="2" t="s">
        <v>29</v>
      </c>
      <c r="M107" s="2">
        <v>676</v>
      </c>
      <c r="N107" s="2" t="s">
        <v>39</v>
      </c>
      <c r="O107" s="2" t="s">
        <v>40</v>
      </c>
      <c r="P107" s="2">
        <v>0</v>
      </c>
      <c r="Q107" s="2" t="s">
        <v>48</v>
      </c>
      <c r="R107" t="str">
        <f t="shared" si="1"/>
        <v>N</v>
      </c>
    </row>
    <row r="108" spans="1:18" x14ac:dyDescent="0.3">
      <c r="A108" s="1" t="s">
        <v>190</v>
      </c>
      <c r="B108" s="1">
        <v>23</v>
      </c>
      <c r="C108" s="1" t="s">
        <v>60</v>
      </c>
      <c r="D108" s="1" t="s">
        <v>19</v>
      </c>
      <c r="E108" s="1">
        <v>2017</v>
      </c>
      <c r="F108" s="1" t="s">
        <v>27</v>
      </c>
      <c r="G108" s="1" t="s">
        <v>38</v>
      </c>
      <c r="H108" s="1">
        <v>6361</v>
      </c>
      <c r="I108" s="1">
        <v>7</v>
      </c>
      <c r="J108" s="1">
        <v>0</v>
      </c>
      <c r="K108" s="1">
        <v>3</v>
      </c>
      <c r="L108" s="1" t="s">
        <v>29</v>
      </c>
      <c r="M108" s="1">
        <v>613</v>
      </c>
      <c r="N108" s="1" t="s">
        <v>75</v>
      </c>
      <c r="O108" s="1" t="s">
        <v>432</v>
      </c>
      <c r="P108" s="1">
        <v>7500</v>
      </c>
      <c r="Q108" s="1" t="s">
        <v>98</v>
      </c>
      <c r="R108" t="str">
        <f t="shared" si="1"/>
        <v>Y</v>
      </c>
    </row>
    <row r="109" spans="1:18" x14ac:dyDescent="0.3">
      <c r="A109" s="2" t="s">
        <v>191</v>
      </c>
      <c r="B109" s="2">
        <v>62</v>
      </c>
      <c r="C109" s="2" t="s">
        <v>60</v>
      </c>
      <c r="D109" s="2" t="s">
        <v>85</v>
      </c>
      <c r="E109" s="2">
        <v>2014</v>
      </c>
      <c r="F109" s="2" t="s">
        <v>69</v>
      </c>
      <c r="G109" s="2" t="s">
        <v>70</v>
      </c>
      <c r="H109" s="2">
        <v>14552</v>
      </c>
      <c r="I109" s="2">
        <v>42</v>
      </c>
      <c r="J109" s="2">
        <v>1</v>
      </c>
      <c r="K109" s="2">
        <v>1</v>
      </c>
      <c r="L109" s="2" t="s">
        <v>35</v>
      </c>
      <c r="M109" s="2">
        <v>376</v>
      </c>
      <c r="N109" s="2" t="s">
        <v>39</v>
      </c>
      <c r="O109" s="2" t="s">
        <v>431</v>
      </c>
      <c r="P109" s="2">
        <v>3000</v>
      </c>
      <c r="Q109" s="2" t="s">
        <v>103</v>
      </c>
      <c r="R109" t="str">
        <f t="shared" si="1"/>
        <v>Y</v>
      </c>
    </row>
    <row r="110" spans="1:18" x14ac:dyDescent="0.3">
      <c r="A110" s="1" t="s">
        <v>192</v>
      </c>
      <c r="B110" s="1">
        <v>69</v>
      </c>
      <c r="C110" s="1" t="s">
        <v>60</v>
      </c>
      <c r="D110" s="1" t="s">
        <v>19</v>
      </c>
      <c r="E110" s="1">
        <v>2000</v>
      </c>
      <c r="F110" s="1" t="s">
        <v>65</v>
      </c>
      <c r="G110" s="1" t="s">
        <v>66</v>
      </c>
      <c r="H110" s="1">
        <v>17358</v>
      </c>
      <c r="I110" s="1">
        <v>53</v>
      </c>
      <c r="J110" s="1">
        <v>0</v>
      </c>
      <c r="K110" s="1">
        <v>0</v>
      </c>
      <c r="L110" s="1" t="s">
        <v>35</v>
      </c>
      <c r="M110" s="1">
        <v>675</v>
      </c>
      <c r="N110" s="1" t="s">
        <v>75</v>
      </c>
      <c r="O110" s="1" t="s">
        <v>431</v>
      </c>
      <c r="P110" s="1">
        <v>0</v>
      </c>
      <c r="Q110" s="1" t="s">
        <v>41</v>
      </c>
      <c r="R110" t="str">
        <f t="shared" si="1"/>
        <v>N</v>
      </c>
    </row>
    <row r="111" spans="1:18" x14ac:dyDescent="0.3">
      <c r="A111" s="2" t="s">
        <v>193</v>
      </c>
      <c r="B111" s="2">
        <v>27</v>
      </c>
      <c r="C111" s="2" t="s">
        <v>60</v>
      </c>
      <c r="D111" s="2" t="s">
        <v>26</v>
      </c>
      <c r="E111" s="2">
        <v>2011</v>
      </c>
      <c r="F111" s="2" t="s">
        <v>27</v>
      </c>
      <c r="G111" s="2" t="s">
        <v>38</v>
      </c>
      <c r="H111" s="2">
        <v>5519</v>
      </c>
      <c r="I111" s="2">
        <v>7</v>
      </c>
      <c r="J111" s="2">
        <v>0</v>
      </c>
      <c r="K111" s="2">
        <v>2</v>
      </c>
      <c r="L111" s="2" t="s">
        <v>29</v>
      </c>
      <c r="M111" s="2">
        <v>707</v>
      </c>
      <c r="N111" s="2" t="s">
        <v>75</v>
      </c>
      <c r="O111" s="2" t="s">
        <v>40</v>
      </c>
      <c r="P111" s="2">
        <v>500</v>
      </c>
      <c r="Q111" s="2" t="s">
        <v>86</v>
      </c>
      <c r="R111" t="str">
        <f t="shared" si="1"/>
        <v>Y</v>
      </c>
    </row>
    <row r="112" spans="1:18" x14ac:dyDescent="0.3">
      <c r="A112" s="1" t="s">
        <v>194</v>
      </c>
      <c r="B112" s="1">
        <v>19</v>
      </c>
      <c r="C112" s="1" t="s">
        <v>60</v>
      </c>
      <c r="D112" s="1" t="s">
        <v>19</v>
      </c>
      <c r="E112" s="1">
        <v>2015</v>
      </c>
      <c r="F112" s="1" t="s">
        <v>79</v>
      </c>
      <c r="G112" s="1" t="s">
        <v>129</v>
      </c>
      <c r="H112" s="1">
        <v>21404</v>
      </c>
      <c r="I112" s="1">
        <v>3</v>
      </c>
      <c r="J112" s="1">
        <v>0</v>
      </c>
      <c r="K112" s="1">
        <v>1</v>
      </c>
      <c r="L112" s="1" t="s">
        <v>29</v>
      </c>
      <c r="M112" s="1">
        <v>519</v>
      </c>
      <c r="N112" s="1" t="s">
        <v>39</v>
      </c>
      <c r="O112" s="1" t="s">
        <v>40</v>
      </c>
      <c r="P112" s="1">
        <v>15000</v>
      </c>
      <c r="Q112" s="1" t="s">
        <v>99</v>
      </c>
      <c r="R112" t="str">
        <f t="shared" si="1"/>
        <v>Y</v>
      </c>
    </row>
    <row r="113" spans="1:18" x14ac:dyDescent="0.3">
      <c r="A113" s="2" t="s">
        <v>195</v>
      </c>
      <c r="B113" s="2">
        <v>25</v>
      </c>
      <c r="C113" s="2" t="s">
        <v>18</v>
      </c>
      <c r="D113" s="2" t="s">
        <v>33</v>
      </c>
      <c r="E113" s="2">
        <v>2014</v>
      </c>
      <c r="F113" s="2" t="s">
        <v>65</v>
      </c>
      <c r="G113" s="2" t="s">
        <v>66</v>
      </c>
      <c r="H113" s="2">
        <v>17585</v>
      </c>
      <c r="I113" s="2">
        <v>9</v>
      </c>
      <c r="J113" s="2">
        <v>2</v>
      </c>
      <c r="K113" s="2">
        <v>1</v>
      </c>
      <c r="L113" s="2" t="s">
        <v>29</v>
      </c>
      <c r="M113" s="2">
        <v>366</v>
      </c>
      <c r="N113" s="2" t="s">
        <v>39</v>
      </c>
      <c r="O113" s="2" t="s">
        <v>62</v>
      </c>
      <c r="P113" s="2">
        <v>1200</v>
      </c>
      <c r="Q113" s="2" t="s">
        <v>51</v>
      </c>
      <c r="R113" t="str">
        <f t="shared" si="1"/>
        <v>Y</v>
      </c>
    </row>
    <row r="114" spans="1:18" x14ac:dyDescent="0.3">
      <c r="A114" s="1" t="s">
        <v>196</v>
      </c>
      <c r="B114" s="1">
        <v>72</v>
      </c>
      <c r="C114" s="1" t="s">
        <v>18</v>
      </c>
      <c r="D114" s="1" t="s">
        <v>19</v>
      </c>
      <c r="E114" s="1">
        <v>2011</v>
      </c>
      <c r="F114" s="1" t="s">
        <v>79</v>
      </c>
      <c r="G114" s="1" t="s">
        <v>56</v>
      </c>
      <c r="H114" s="1">
        <v>6976</v>
      </c>
      <c r="I114" s="1">
        <v>55</v>
      </c>
      <c r="J114" s="1">
        <v>0</v>
      </c>
      <c r="K114" s="1">
        <v>0</v>
      </c>
      <c r="L114" s="1" t="s">
        <v>29</v>
      </c>
      <c r="M114" s="1">
        <v>326</v>
      </c>
      <c r="N114" s="1" t="s">
        <v>75</v>
      </c>
      <c r="O114" s="1" t="s">
        <v>62</v>
      </c>
      <c r="P114" s="1">
        <v>3000</v>
      </c>
      <c r="Q114" s="1" t="s">
        <v>126</v>
      </c>
      <c r="R114" t="str">
        <f t="shared" si="1"/>
        <v>Y</v>
      </c>
    </row>
    <row r="115" spans="1:18" x14ac:dyDescent="0.3">
      <c r="A115" s="2" t="s">
        <v>197</v>
      </c>
      <c r="B115" s="2">
        <v>69</v>
      </c>
      <c r="C115" s="2" t="s">
        <v>60</v>
      </c>
      <c r="D115" s="2" t="s">
        <v>19</v>
      </c>
      <c r="E115" s="2">
        <v>2019</v>
      </c>
      <c r="F115" s="2" t="s">
        <v>69</v>
      </c>
      <c r="G115" s="2" t="s">
        <v>88</v>
      </c>
      <c r="H115" s="2">
        <v>13134</v>
      </c>
      <c r="I115" s="2">
        <v>50</v>
      </c>
      <c r="J115" s="2">
        <v>2</v>
      </c>
      <c r="K115" s="2">
        <v>3</v>
      </c>
      <c r="L115" s="2" t="s">
        <v>29</v>
      </c>
      <c r="M115" s="2">
        <v>838</v>
      </c>
      <c r="N115" s="2" t="s">
        <v>75</v>
      </c>
      <c r="O115" s="2" t="s">
        <v>431</v>
      </c>
      <c r="P115" s="2">
        <v>0</v>
      </c>
      <c r="Q115" s="2" t="s">
        <v>105</v>
      </c>
      <c r="R115" t="str">
        <f t="shared" si="1"/>
        <v>N</v>
      </c>
    </row>
    <row r="116" spans="1:18" x14ac:dyDescent="0.3">
      <c r="A116" s="1" t="s">
        <v>198</v>
      </c>
      <c r="B116" s="1">
        <v>38</v>
      </c>
      <c r="C116" s="1" t="s">
        <v>60</v>
      </c>
      <c r="D116" s="1" t="s">
        <v>33</v>
      </c>
      <c r="E116" s="1">
        <v>2014</v>
      </c>
      <c r="F116" s="1" t="s">
        <v>73</v>
      </c>
      <c r="G116" s="1" t="s">
        <v>83</v>
      </c>
      <c r="H116" s="1">
        <v>19952</v>
      </c>
      <c r="I116" s="1">
        <v>20</v>
      </c>
      <c r="J116" s="1">
        <v>0</v>
      </c>
      <c r="K116" s="1">
        <v>2</v>
      </c>
      <c r="L116" s="1" t="s">
        <v>35</v>
      </c>
      <c r="M116" s="1">
        <v>486</v>
      </c>
      <c r="N116" s="1" t="s">
        <v>22</v>
      </c>
      <c r="O116" s="1" t="s">
        <v>431</v>
      </c>
      <c r="P116" s="1">
        <v>0</v>
      </c>
      <c r="Q116" s="1" t="s">
        <v>86</v>
      </c>
      <c r="R116" t="str">
        <f t="shared" si="1"/>
        <v>N</v>
      </c>
    </row>
    <row r="117" spans="1:18" x14ac:dyDescent="0.3">
      <c r="A117" s="2" t="s">
        <v>199</v>
      </c>
      <c r="B117" s="2">
        <v>51</v>
      </c>
      <c r="C117" s="2" t="s">
        <v>18</v>
      </c>
      <c r="D117" s="2" t="s">
        <v>85</v>
      </c>
      <c r="E117" s="2">
        <v>2005</v>
      </c>
      <c r="F117" s="2" t="s">
        <v>65</v>
      </c>
      <c r="G117" s="2" t="s">
        <v>77</v>
      </c>
      <c r="H117" s="2">
        <v>10388</v>
      </c>
      <c r="I117" s="2">
        <v>33</v>
      </c>
      <c r="J117" s="2">
        <v>1</v>
      </c>
      <c r="K117" s="2">
        <v>1</v>
      </c>
      <c r="L117" s="2" t="s">
        <v>35</v>
      </c>
      <c r="M117" s="2">
        <v>556</v>
      </c>
      <c r="N117" s="2" t="s">
        <v>22</v>
      </c>
      <c r="O117" s="2" t="s">
        <v>62</v>
      </c>
      <c r="P117" s="2">
        <v>1200</v>
      </c>
      <c r="Q117" s="2" t="s">
        <v>105</v>
      </c>
      <c r="R117" t="str">
        <f t="shared" si="1"/>
        <v>Y</v>
      </c>
    </row>
    <row r="118" spans="1:18" x14ac:dyDescent="0.3">
      <c r="A118" s="1" t="s">
        <v>200</v>
      </c>
      <c r="B118" s="1">
        <v>58</v>
      </c>
      <c r="C118" s="1" t="s">
        <v>18</v>
      </c>
      <c r="D118" s="1" t="s">
        <v>33</v>
      </c>
      <c r="E118" s="1">
        <v>2016</v>
      </c>
      <c r="F118" s="1" t="s">
        <v>65</v>
      </c>
      <c r="G118" s="1" t="s">
        <v>66</v>
      </c>
      <c r="H118" s="1">
        <v>22026</v>
      </c>
      <c r="I118" s="1">
        <v>41</v>
      </c>
      <c r="J118" s="1">
        <v>0</v>
      </c>
      <c r="K118" s="1">
        <v>3</v>
      </c>
      <c r="L118" s="1" t="s">
        <v>35</v>
      </c>
      <c r="M118" s="1">
        <v>645</v>
      </c>
      <c r="N118" s="1" t="s">
        <v>39</v>
      </c>
      <c r="O118" s="1" t="s">
        <v>90</v>
      </c>
      <c r="P118" s="1">
        <v>0</v>
      </c>
      <c r="Q118" s="1" t="s">
        <v>37</v>
      </c>
      <c r="R118" t="str">
        <f t="shared" si="1"/>
        <v>N</v>
      </c>
    </row>
    <row r="119" spans="1:18" x14ac:dyDescent="0.3">
      <c r="A119" s="2" t="s">
        <v>202</v>
      </c>
      <c r="B119" s="2">
        <v>20</v>
      </c>
      <c r="C119" s="2" t="s">
        <v>60</v>
      </c>
      <c r="D119" s="2" t="s">
        <v>85</v>
      </c>
      <c r="E119" s="2">
        <v>2020</v>
      </c>
      <c r="F119" s="2" t="s">
        <v>65</v>
      </c>
      <c r="G119" s="2" t="s">
        <v>77</v>
      </c>
      <c r="H119" s="2">
        <v>23254</v>
      </c>
      <c r="I119" s="2">
        <v>4</v>
      </c>
      <c r="J119" s="2">
        <v>1</v>
      </c>
      <c r="K119" s="2">
        <v>3</v>
      </c>
      <c r="L119" s="2" t="s">
        <v>35</v>
      </c>
      <c r="M119" s="2">
        <v>596</v>
      </c>
      <c r="N119" s="2" t="s">
        <v>39</v>
      </c>
      <c r="O119" s="2" t="s">
        <v>40</v>
      </c>
      <c r="P119" s="2">
        <v>15000</v>
      </c>
      <c r="Q119" s="2" t="s">
        <v>142</v>
      </c>
      <c r="R119" t="str">
        <f t="shared" si="1"/>
        <v>Y</v>
      </c>
    </row>
    <row r="120" spans="1:18" x14ac:dyDescent="0.3">
      <c r="A120" s="1" t="s">
        <v>203</v>
      </c>
      <c r="B120" s="1">
        <v>73</v>
      </c>
      <c r="C120" s="1" t="s">
        <v>60</v>
      </c>
      <c r="D120" s="1" t="s">
        <v>85</v>
      </c>
      <c r="E120" s="1">
        <v>2023</v>
      </c>
      <c r="F120" s="1" t="s">
        <v>27</v>
      </c>
      <c r="G120" s="1" t="s">
        <v>38</v>
      </c>
      <c r="H120" s="1">
        <v>7284</v>
      </c>
      <c r="I120" s="1">
        <v>55</v>
      </c>
      <c r="J120" s="1">
        <v>1</v>
      </c>
      <c r="K120" s="1">
        <v>2</v>
      </c>
      <c r="L120" s="1" t="s">
        <v>35</v>
      </c>
      <c r="M120" s="1">
        <v>626</v>
      </c>
      <c r="N120" s="1" t="s">
        <v>22</v>
      </c>
      <c r="O120" s="1" t="s">
        <v>23</v>
      </c>
      <c r="P120" s="1">
        <v>0</v>
      </c>
      <c r="Q120" s="1" t="s">
        <v>63</v>
      </c>
      <c r="R120" t="str">
        <f t="shared" si="1"/>
        <v>N</v>
      </c>
    </row>
    <row r="121" spans="1:18" x14ac:dyDescent="0.3">
      <c r="A121" s="2" t="s">
        <v>204</v>
      </c>
      <c r="B121" s="2">
        <v>19</v>
      </c>
      <c r="C121" s="2" t="s">
        <v>18</v>
      </c>
      <c r="D121" s="2" t="s">
        <v>19</v>
      </c>
      <c r="E121" s="2">
        <v>2003</v>
      </c>
      <c r="F121" s="2" t="s">
        <v>69</v>
      </c>
      <c r="G121" s="2" t="s">
        <v>34</v>
      </c>
      <c r="H121" s="2">
        <v>15587</v>
      </c>
      <c r="I121" s="2">
        <v>26</v>
      </c>
      <c r="J121" s="2">
        <v>1</v>
      </c>
      <c r="K121" s="2">
        <v>0</v>
      </c>
      <c r="L121" s="2" t="s">
        <v>35</v>
      </c>
      <c r="M121" s="2">
        <v>635</v>
      </c>
      <c r="N121" s="2" t="s">
        <v>39</v>
      </c>
      <c r="O121" s="2" t="s">
        <v>30</v>
      </c>
      <c r="P121" s="2">
        <v>500</v>
      </c>
      <c r="Q121" s="2" t="s">
        <v>98</v>
      </c>
      <c r="R121" t="str">
        <f t="shared" si="1"/>
        <v>Y</v>
      </c>
    </row>
    <row r="122" spans="1:18" x14ac:dyDescent="0.3">
      <c r="A122" s="1" t="s">
        <v>205</v>
      </c>
      <c r="B122" s="1">
        <v>49</v>
      </c>
      <c r="C122" s="1" t="s">
        <v>60</v>
      </c>
      <c r="D122" s="1" t="s">
        <v>26</v>
      </c>
      <c r="E122" s="1">
        <v>2015</v>
      </c>
      <c r="F122" s="1" t="s">
        <v>27</v>
      </c>
      <c r="G122" s="1" t="s">
        <v>38</v>
      </c>
      <c r="H122" s="1">
        <v>3759</v>
      </c>
      <c r="I122" s="1">
        <v>33</v>
      </c>
      <c r="J122" s="1">
        <v>1</v>
      </c>
      <c r="K122" s="1">
        <v>2</v>
      </c>
      <c r="L122" s="1" t="s">
        <v>29</v>
      </c>
      <c r="M122" s="1">
        <v>546</v>
      </c>
      <c r="N122" s="1" t="s">
        <v>22</v>
      </c>
      <c r="O122" s="1" t="s">
        <v>432</v>
      </c>
      <c r="P122" s="1">
        <v>3000</v>
      </c>
      <c r="Q122" s="1" t="s">
        <v>31</v>
      </c>
      <c r="R122" t="str">
        <f t="shared" si="1"/>
        <v>Y</v>
      </c>
    </row>
    <row r="123" spans="1:18" x14ac:dyDescent="0.3">
      <c r="A123" s="2" t="s">
        <v>206</v>
      </c>
      <c r="B123" s="2">
        <v>21</v>
      </c>
      <c r="C123" s="2" t="s">
        <v>18</v>
      </c>
      <c r="D123" s="2" t="s">
        <v>26</v>
      </c>
      <c r="E123" s="2">
        <v>2019</v>
      </c>
      <c r="F123" s="2" t="s">
        <v>73</v>
      </c>
      <c r="G123" s="2" t="s">
        <v>74</v>
      </c>
      <c r="H123" s="2">
        <v>20586</v>
      </c>
      <c r="I123" s="2">
        <v>5</v>
      </c>
      <c r="J123" s="2">
        <v>0</v>
      </c>
      <c r="K123" s="2">
        <v>1</v>
      </c>
      <c r="L123" s="2" t="s">
        <v>35</v>
      </c>
      <c r="M123" s="2">
        <v>570</v>
      </c>
      <c r="N123" s="2" t="s">
        <v>39</v>
      </c>
      <c r="O123" s="2" t="s">
        <v>30</v>
      </c>
      <c r="P123" s="2">
        <v>7500</v>
      </c>
      <c r="Q123" s="2" t="s">
        <v>54</v>
      </c>
      <c r="R123" t="str">
        <f t="shared" si="1"/>
        <v>Y</v>
      </c>
    </row>
    <row r="124" spans="1:18" x14ac:dyDescent="0.3">
      <c r="A124" s="1" t="s">
        <v>207</v>
      </c>
      <c r="B124" s="1">
        <v>61</v>
      </c>
      <c r="C124" s="1" t="s">
        <v>60</v>
      </c>
      <c r="D124" s="1" t="s">
        <v>33</v>
      </c>
      <c r="E124" s="1">
        <v>2004</v>
      </c>
      <c r="F124" s="1" t="s">
        <v>69</v>
      </c>
      <c r="G124" s="1" t="s">
        <v>34</v>
      </c>
      <c r="H124" s="1">
        <v>15228</v>
      </c>
      <c r="I124" s="1">
        <v>43</v>
      </c>
      <c r="J124" s="1">
        <v>1</v>
      </c>
      <c r="K124" s="1">
        <v>1</v>
      </c>
      <c r="L124" s="1" t="s">
        <v>35</v>
      </c>
      <c r="M124" s="1">
        <v>503</v>
      </c>
      <c r="N124" s="1" t="s">
        <v>39</v>
      </c>
      <c r="O124" s="1" t="s">
        <v>62</v>
      </c>
      <c r="P124" s="1">
        <v>7500</v>
      </c>
      <c r="Q124" s="1" t="s">
        <v>103</v>
      </c>
      <c r="R124" t="str">
        <f t="shared" si="1"/>
        <v>Y</v>
      </c>
    </row>
    <row r="125" spans="1:18" x14ac:dyDescent="0.3">
      <c r="A125" s="2" t="s">
        <v>208</v>
      </c>
      <c r="B125" s="2">
        <v>20</v>
      </c>
      <c r="C125" s="2" t="s">
        <v>18</v>
      </c>
      <c r="D125" s="2" t="s">
        <v>33</v>
      </c>
      <c r="E125" s="2">
        <v>2004</v>
      </c>
      <c r="F125" s="2" t="s">
        <v>27</v>
      </c>
      <c r="G125" s="2" t="s">
        <v>38</v>
      </c>
      <c r="H125" s="2">
        <v>20017</v>
      </c>
      <c r="I125" s="2">
        <v>1</v>
      </c>
      <c r="J125" s="2">
        <v>0</v>
      </c>
      <c r="K125" s="2">
        <v>2</v>
      </c>
      <c r="L125" s="2" t="s">
        <v>35</v>
      </c>
      <c r="M125" s="2">
        <v>443</v>
      </c>
      <c r="N125" s="2" t="s">
        <v>75</v>
      </c>
      <c r="O125" s="2" t="s">
        <v>432</v>
      </c>
      <c r="P125" s="2">
        <v>3000</v>
      </c>
      <c r="Q125" s="2" t="s">
        <v>98</v>
      </c>
      <c r="R125" t="str">
        <f t="shared" si="1"/>
        <v>Y</v>
      </c>
    </row>
    <row r="126" spans="1:18" x14ac:dyDescent="0.3">
      <c r="A126" s="1" t="s">
        <v>209</v>
      </c>
      <c r="B126" s="1">
        <v>43</v>
      </c>
      <c r="C126" s="1" t="s">
        <v>60</v>
      </c>
      <c r="D126" s="1" t="s">
        <v>85</v>
      </c>
      <c r="E126" s="1">
        <v>2018</v>
      </c>
      <c r="F126" s="1" t="s">
        <v>27</v>
      </c>
      <c r="G126" s="1" t="s">
        <v>38</v>
      </c>
      <c r="H126" s="1">
        <v>21445</v>
      </c>
      <c r="I126" s="1">
        <v>25</v>
      </c>
      <c r="J126" s="1">
        <v>1</v>
      </c>
      <c r="K126" s="1">
        <v>0</v>
      </c>
      <c r="L126" s="1" t="s">
        <v>29</v>
      </c>
      <c r="M126" s="1">
        <v>639</v>
      </c>
      <c r="N126" s="1" t="s">
        <v>39</v>
      </c>
      <c r="O126" s="1" t="s">
        <v>67</v>
      </c>
      <c r="P126" s="1">
        <v>7500</v>
      </c>
      <c r="Q126" s="1" t="s">
        <v>80</v>
      </c>
      <c r="R126" t="str">
        <f t="shared" si="1"/>
        <v>Y</v>
      </c>
    </row>
    <row r="127" spans="1:18" x14ac:dyDescent="0.3">
      <c r="A127" s="2" t="s">
        <v>210</v>
      </c>
      <c r="B127" s="2">
        <v>37</v>
      </c>
      <c r="C127" s="2" t="s">
        <v>60</v>
      </c>
      <c r="D127" s="2" t="s">
        <v>33</v>
      </c>
      <c r="E127" s="2">
        <v>2019</v>
      </c>
      <c r="F127" s="2" t="s">
        <v>73</v>
      </c>
      <c r="G127" s="2" t="s">
        <v>74</v>
      </c>
      <c r="H127" s="2">
        <v>24482</v>
      </c>
      <c r="I127" s="2">
        <v>17</v>
      </c>
      <c r="J127" s="2">
        <v>1</v>
      </c>
      <c r="K127" s="2">
        <v>0</v>
      </c>
      <c r="L127" s="2" t="s">
        <v>35</v>
      </c>
      <c r="M127" s="2">
        <v>791</v>
      </c>
      <c r="N127" s="2" t="s">
        <v>22</v>
      </c>
      <c r="O127" s="2" t="s">
        <v>62</v>
      </c>
      <c r="P127" s="2">
        <v>7500</v>
      </c>
      <c r="Q127" s="2" t="s">
        <v>105</v>
      </c>
      <c r="R127" t="str">
        <f t="shared" si="1"/>
        <v>Y</v>
      </c>
    </row>
    <row r="128" spans="1:18" x14ac:dyDescent="0.3">
      <c r="A128" s="1" t="s">
        <v>211</v>
      </c>
      <c r="B128" s="1">
        <v>70</v>
      </c>
      <c r="C128" s="1" t="s">
        <v>60</v>
      </c>
      <c r="D128" s="1" t="s">
        <v>19</v>
      </c>
      <c r="E128" s="1">
        <v>2001</v>
      </c>
      <c r="F128" s="1" t="s">
        <v>20</v>
      </c>
      <c r="G128" s="1" t="s">
        <v>21</v>
      </c>
      <c r="H128" s="1">
        <v>9251</v>
      </c>
      <c r="I128" s="1">
        <v>54</v>
      </c>
      <c r="J128" s="1">
        <v>1</v>
      </c>
      <c r="K128" s="1">
        <v>1</v>
      </c>
      <c r="L128" s="1" t="s">
        <v>29</v>
      </c>
      <c r="M128" s="1">
        <v>455</v>
      </c>
      <c r="N128" s="1" t="s">
        <v>75</v>
      </c>
      <c r="O128" s="1" t="s">
        <v>36</v>
      </c>
      <c r="P128" s="1">
        <v>7500</v>
      </c>
      <c r="Q128" s="1" t="s">
        <v>103</v>
      </c>
      <c r="R128" t="str">
        <f t="shared" si="1"/>
        <v>Y</v>
      </c>
    </row>
    <row r="129" spans="1:18" x14ac:dyDescent="0.3">
      <c r="A129" s="2" t="s">
        <v>212</v>
      </c>
      <c r="B129" s="2">
        <v>47</v>
      </c>
      <c r="C129" s="2" t="s">
        <v>60</v>
      </c>
      <c r="D129" s="2" t="s">
        <v>85</v>
      </c>
      <c r="E129" s="2">
        <v>2017</v>
      </c>
      <c r="F129" s="2" t="s">
        <v>27</v>
      </c>
      <c r="G129" s="2" t="s">
        <v>38</v>
      </c>
      <c r="H129" s="2">
        <v>22990</v>
      </c>
      <c r="I129" s="2">
        <v>28</v>
      </c>
      <c r="J129" s="2">
        <v>0</v>
      </c>
      <c r="K129" s="2">
        <v>0</v>
      </c>
      <c r="L129" s="2" t="s">
        <v>29</v>
      </c>
      <c r="M129" s="2">
        <v>605</v>
      </c>
      <c r="N129" s="2" t="s">
        <v>22</v>
      </c>
      <c r="O129" s="2" t="s">
        <v>40</v>
      </c>
      <c r="P129" s="2">
        <v>1200</v>
      </c>
      <c r="Q129" s="2" t="s">
        <v>99</v>
      </c>
      <c r="R129" t="str">
        <f t="shared" si="1"/>
        <v>Y</v>
      </c>
    </row>
    <row r="130" spans="1:18" x14ac:dyDescent="0.3">
      <c r="A130" s="1" t="s">
        <v>213</v>
      </c>
      <c r="B130" s="1">
        <v>62</v>
      </c>
      <c r="C130" s="1" t="s">
        <v>60</v>
      </c>
      <c r="D130" s="1" t="s">
        <v>26</v>
      </c>
      <c r="E130" s="1">
        <v>2010</v>
      </c>
      <c r="F130" s="1" t="s">
        <v>73</v>
      </c>
      <c r="G130" s="1" t="s">
        <v>74</v>
      </c>
      <c r="H130" s="1">
        <v>21366</v>
      </c>
      <c r="I130" s="1">
        <v>44</v>
      </c>
      <c r="J130" s="1">
        <v>0</v>
      </c>
      <c r="K130" s="1">
        <v>0</v>
      </c>
      <c r="L130" s="1" t="s">
        <v>35</v>
      </c>
      <c r="M130" s="1">
        <v>688</v>
      </c>
      <c r="N130" s="1" t="s">
        <v>75</v>
      </c>
      <c r="O130" s="1" t="s">
        <v>30</v>
      </c>
      <c r="P130" s="1">
        <v>0</v>
      </c>
      <c r="Q130" s="1" t="s">
        <v>51</v>
      </c>
      <c r="R130" t="str">
        <f t="shared" si="1"/>
        <v>N</v>
      </c>
    </row>
    <row r="131" spans="1:18" x14ac:dyDescent="0.3">
      <c r="A131" s="2" t="s">
        <v>214</v>
      </c>
      <c r="B131" s="2">
        <v>20</v>
      </c>
      <c r="C131" s="2" t="s">
        <v>18</v>
      </c>
      <c r="D131" s="2" t="s">
        <v>33</v>
      </c>
      <c r="E131" s="2">
        <v>2011</v>
      </c>
      <c r="F131" s="2" t="s">
        <v>73</v>
      </c>
      <c r="G131" s="2" t="s">
        <v>83</v>
      </c>
      <c r="H131" s="2">
        <v>11403</v>
      </c>
      <c r="I131" s="2">
        <v>1</v>
      </c>
      <c r="J131" s="2">
        <v>0</v>
      </c>
      <c r="K131" s="2">
        <v>0</v>
      </c>
      <c r="L131" s="2" t="s">
        <v>35</v>
      </c>
      <c r="M131" s="2">
        <v>577</v>
      </c>
      <c r="N131" s="2" t="s">
        <v>39</v>
      </c>
      <c r="O131" s="2" t="s">
        <v>40</v>
      </c>
      <c r="P131" s="2">
        <v>0</v>
      </c>
      <c r="Q131" s="2" t="s">
        <v>86</v>
      </c>
      <c r="R131" t="str">
        <f t="shared" ref="R131:R194" si="2">IF(P131&gt;0, "Y", "N")</f>
        <v>N</v>
      </c>
    </row>
    <row r="132" spans="1:18" x14ac:dyDescent="0.3">
      <c r="A132" s="1" t="s">
        <v>215</v>
      </c>
      <c r="B132" s="1">
        <v>18</v>
      </c>
      <c r="C132" s="1" t="s">
        <v>60</v>
      </c>
      <c r="D132" s="1" t="s">
        <v>19</v>
      </c>
      <c r="E132" s="1">
        <v>2007</v>
      </c>
      <c r="F132" s="1" t="s">
        <v>69</v>
      </c>
      <c r="G132" s="1" t="s">
        <v>70</v>
      </c>
      <c r="H132" s="1">
        <v>20401</v>
      </c>
      <c r="I132" s="1">
        <v>23</v>
      </c>
      <c r="J132" s="1">
        <v>2</v>
      </c>
      <c r="K132" s="1">
        <v>0</v>
      </c>
      <c r="L132" s="1" t="s">
        <v>35</v>
      </c>
      <c r="M132" s="1">
        <v>402</v>
      </c>
      <c r="N132" s="1" t="s">
        <v>75</v>
      </c>
      <c r="O132" s="1" t="s">
        <v>30</v>
      </c>
      <c r="P132" s="1">
        <v>15000</v>
      </c>
      <c r="Q132" s="1" t="s">
        <v>86</v>
      </c>
      <c r="R132" t="str">
        <f t="shared" si="2"/>
        <v>Y</v>
      </c>
    </row>
    <row r="133" spans="1:18" x14ac:dyDescent="0.3">
      <c r="A133" s="2" t="s">
        <v>216</v>
      </c>
      <c r="B133" s="2">
        <v>61</v>
      </c>
      <c r="C133" s="2" t="s">
        <v>18</v>
      </c>
      <c r="D133" s="2" t="s">
        <v>33</v>
      </c>
      <c r="E133" s="2">
        <v>2017</v>
      </c>
      <c r="F133" s="2" t="s">
        <v>65</v>
      </c>
      <c r="G133" s="2" t="s">
        <v>77</v>
      </c>
      <c r="H133" s="2">
        <v>24393</v>
      </c>
      <c r="I133" s="2">
        <v>42</v>
      </c>
      <c r="J133" s="2">
        <v>1</v>
      </c>
      <c r="K133" s="2">
        <v>3</v>
      </c>
      <c r="L133" s="2" t="s">
        <v>35</v>
      </c>
      <c r="M133" s="2">
        <v>594</v>
      </c>
      <c r="N133" s="2" t="s">
        <v>75</v>
      </c>
      <c r="O133" s="2" t="s">
        <v>40</v>
      </c>
      <c r="P133" s="2">
        <v>0</v>
      </c>
      <c r="Q133" s="2" t="s">
        <v>37</v>
      </c>
      <c r="R133" t="str">
        <f t="shared" si="2"/>
        <v>N</v>
      </c>
    </row>
    <row r="134" spans="1:18" x14ac:dyDescent="0.3">
      <c r="A134" s="1" t="s">
        <v>217</v>
      </c>
      <c r="B134" s="1">
        <v>59</v>
      </c>
      <c r="C134" s="1" t="s">
        <v>60</v>
      </c>
      <c r="D134" s="1" t="s">
        <v>19</v>
      </c>
      <c r="E134" s="1">
        <v>2017</v>
      </c>
      <c r="F134" s="1" t="s">
        <v>69</v>
      </c>
      <c r="G134" s="1" t="s">
        <v>88</v>
      </c>
      <c r="H134" s="1">
        <v>16693</v>
      </c>
      <c r="I134" s="1">
        <v>42</v>
      </c>
      <c r="J134" s="1">
        <v>0</v>
      </c>
      <c r="K134" s="1">
        <v>1</v>
      </c>
      <c r="L134" s="1" t="s">
        <v>29</v>
      </c>
      <c r="M134" s="1">
        <v>490</v>
      </c>
      <c r="N134" s="1" t="s">
        <v>39</v>
      </c>
      <c r="O134" s="1" t="s">
        <v>40</v>
      </c>
      <c r="P134" s="1">
        <v>0</v>
      </c>
      <c r="Q134" s="1" t="s">
        <v>24</v>
      </c>
      <c r="R134" t="str">
        <f t="shared" si="2"/>
        <v>N</v>
      </c>
    </row>
    <row r="135" spans="1:18" x14ac:dyDescent="0.3">
      <c r="A135" s="2" t="s">
        <v>218</v>
      </c>
      <c r="B135" s="2">
        <v>37</v>
      </c>
      <c r="C135" s="2" t="s">
        <v>60</v>
      </c>
      <c r="D135" s="2" t="s">
        <v>33</v>
      </c>
      <c r="E135" s="2">
        <v>2010</v>
      </c>
      <c r="F135" s="2" t="s">
        <v>27</v>
      </c>
      <c r="G135" s="2" t="s">
        <v>38</v>
      </c>
      <c r="H135" s="2">
        <v>24014</v>
      </c>
      <c r="I135" s="2">
        <v>17</v>
      </c>
      <c r="J135" s="2">
        <v>1</v>
      </c>
      <c r="K135" s="2">
        <v>1</v>
      </c>
      <c r="L135" s="2" t="s">
        <v>35</v>
      </c>
      <c r="M135" s="2">
        <v>816</v>
      </c>
      <c r="N135" s="2" t="s">
        <v>75</v>
      </c>
      <c r="O135" s="2" t="s">
        <v>40</v>
      </c>
      <c r="P135" s="2">
        <v>500</v>
      </c>
      <c r="Q135" s="2" t="s">
        <v>86</v>
      </c>
      <c r="R135" t="str">
        <f t="shared" si="2"/>
        <v>Y</v>
      </c>
    </row>
    <row r="136" spans="1:18" x14ac:dyDescent="0.3">
      <c r="A136" s="1" t="s">
        <v>219</v>
      </c>
      <c r="B136" s="1">
        <v>39</v>
      </c>
      <c r="C136" s="1" t="s">
        <v>18</v>
      </c>
      <c r="D136" s="1" t="s">
        <v>33</v>
      </c>
      <c r="E136" s="1">
        <v>2008</v>
      </c>
      <c r="F136" s="1" t="s">
        <v>27</v>
      </c>
      <c r="G136" s="1" t="s">
        <v>28</v>
      </c>
      <c r="H136" s="1">
        <v>5035</v>
      </c>
      <c r="I136" s="1">
        <v>23</v>
      </c>
      <c r="J136" s="1">
        <v>1</v>
      </c>
      <c r="K136" s="1">
        <v>1</v>
      </c>
      <c r="L136" s="1" t="s">
        <v>35</v>
      </c>
      <c r="M136" s="1">
        <v>715</v>
      </c>
      <c r="N136" s="1" t="s">
        <v>39</v>
      </c>
      <c r="O136" s="1" t="s">
        <v>62</v>
      </c>
      <c r="P136" s="1">
        <v>1200</v>
      </c>
      <c r="Q136" s="1" t="s">
        <v>86</v>
      </c>
      <c r="R136" t="str">
        <f t="shared" si="2"/>
        <v>Y</v>
      </c>
    </row>
    <row r="137" spans="1:18" x14ac:dyDescent="0.3">
      <c r="A137" s="2" t="s">
        <v>220</v>
      </c>
      <c r="B137" s="2">
        <v>58</v>
      </c>
      <c r="C137" s="2" t="s">
        <v>18</v>
      </c>
      <c r="D137" s="2" t="s">
        <v>85</v>
      </c>
      <c r="E137" s="2">
        <v>2019</v>
      </c>
      <c r="F137" s="2" t="s">
        <v>65</v>
      </c>
      <c r="G137" s="2" t="s">
        <v>61</v>
      </c>
      <c r="H137" s="2">
        <v>7376</v>
      </c>
      <c r="I137" s="2">
        <v>39</v>
      </c>
      <c r="J137" s="2">
        <v>0</v>
      </c>
      <c r="K137" s="2">
        <v>1</v>
      </c>
      <c r="L137" s="2" t="s">
        <v>35</v>
      </c>
      <c r="M137" s="2">
        <v>682</v>
      </c>
      <c r="N137" s="2" t="s">
        <v>75</v>
      </c>
      <c r="O137" s="2" t="s">
        <v>62</v>
      </c>
      <c r="P137" s="2">
        <v>15000</v>
      </c>
      <c r="Q137" s="2" t="s">
        <v>44</v>
      </c>
      <c r="R137" t="str">
        <f t="shared" si="2"/>
        <v>Y</v>
      </c>
    </row>
    <row r="138" spans="1:18" x14ac:dyDescent="0.3">
      <c r="A138" s="1" t="s">
        <v>201</v>
      </c>
      <c r="B138" s="1">
        <v>69</v>
      </c>
      <c r="C138" s="1" t="s">
        <v>60</v>
      </c>
      <c r="D138" s="1" t="s">
        <v>19</v>
      </c>
      <c r="E138" s="1">
        <v>2024</v>
      </c>
      <c r="F138" s="1" t="s">
        <v>65</v>
      </c>
      <c r="G138" s="1" t="s">
        <v>61</v>
      </c>
      <c r="H138" s="1">
        <v>20219</v>
      </c>
      <c r="I138" s="1">
        <v>50</v>
      </c>
      <c r="J138" s="1">
        <v>1</v>
      </c>
      <c r="K138" s="1">
        <v>3</v>
      </c>
      <c r="L138" s="1" t="s">
        <v>29</v>
      </c>
      <c r="M138" s="1">
        <v>379</v>
      </c>
      <c r="N138" s="1" t="s">
        <v>39</v>
      </c>
      <c r="O138" s="1" t="s">
        <v>67</v>
      </c>
      <c r="P138" s="1">
        <v>0</v>
      </c>
      <c r="Q138" s="1" t="s">
        <v>44</v>
      </c>
      <c r="R138" t="str">
        <f t="shared" si="2"/>
        <v>N</v>
      </c>
    </row>
    <row r="139" spans="1:18" x14ac:dyDescent="0.3">
      <c r="A139" s="2" t="s">
        <v>201</v>
      </c>
      <c r="B139" s="2">
        <v>69</v>
      </c>
      <c r="C139" s="2" t="s">
        <v>60</v>
      </c>
      <c r="D139" s="2" t="s">
        <v>19</v>
      </c>
      <c r="E139" s="2">
        <v>2024</v>
      </c>
      <c r="F139" s="2" t="s">
        <v>65</v>
      </c>
      <c r="G139" s="2" t="s">
        <v>61</v>
      </c>
      <c r="H139" s="2">
        <v>20219</v>
      </c>
      <c r="I139" s="2">
        <v>50</v>
      </c>
      <c r="J139" s="2">
        <v>1</v>
      </c>
      <c r="K139" s="2">
        <v>3</v>
      </c>
      <c r="L139" s="2" t="s">
        <v>29</v>
      </c>
      <c r="M139" s="2">
        <v>379</v>
      </c>
      <c r="N139" s="2" t="s">
        <v>39</v>
      </c>
      <c r="O139" s="2" t="s">
        <v>67</v>
      </c>
      <c r="P139" s="2">
        <v>0</v>
      </c>
      <c r="Q139" s="2" t="s">
        <v>44</v>
      </c>
      <c r="R139" t="str">
        <f t="shared" si="2"/>
        <v>N</v>
      </c>
    </row>
    <row r="140" spans="1:18" x14ac:dyDescent="0.3">
      <c r="A140" s="1" t="s">
        <v>221</v>
      </c>
      <c r="B140" s="1">
        <v>75</v>
      </c>
      <c r="C140" s="1" t="s">
        <v>60</v>
      </c>
      <c r="D140" s="1" t="s">
        <v>19</v>
      </c>
      <c r="E140" s="1">
        <v>2018</v>
      </c>
      <c r="F140" s="1" t="s">
        <v>79</v>
      </c>
      <c r="G140" s="1" t="s">
        <v>222</v>
      </c>
      <c r="H140" s="1">
        <v>8391</v>
      </c>
      <c r="I140" s="1">
        <v>57</v>
      </c>
      <c r="J140" s="1">
        <v>1</v>
      </c>
      <c r="K140" s="1">
        <v>1</v>
      </c>
      <c r="L140" s="1" t="s">
        <v>35</v>
      </c>
      <c r="M140" s="1">
        <v>510</v>
      </c>
      <c r="N140" s="1" t="s">
        <v>39</v>
      </c>
      <c r="O140" s="1" t="s">
        <v>432</v>
      </c>
      <c r="P140" s="1">
        <v>15000</v>
      </c>
      <c r="Q140" s="1" t="s">
        <v>37</v>
      </c>
      <c r="R140" t="str">
        <f t="shared" si="2"/>
        <v>Y</v>
      </c>
    </row>
    <row r="141" spans="1:18" x14ac:dyDescent="0.3">
      <c r="A141" s="2" t="s">
        <v>223</v>
      </c>
      <c r="B141" s="2">
        <v>75</v>
      </c>
      <c r="C141" s="2" t="s">
        <v>60</v>
      </c>
      <c r="D141" s="2" t="s">
        <v>26</v>
      </c>
      <c r="E141" s="2">
        <v>2001</v>
      </c>
      <c r="F141" s="2" t="s">
        <v>73</v>
      </c>
      <c r="G141" s="2" t="s">
        <v>117</v>
      </c>
      <c r="H141" s="2">
        <v>19818</v>
      </c>
      <c r="I141" s="2">
        <v>56</v>
      </c>
      <c r="J141" s="2">
        <v>1</v>
      </c>
      <c r="K141" s="2">
        <v>2</v>
      </c>
      <c r="L141" s="2" t="s">
        <v>35</v>
      </c>
      <c r="M141" s="2">
        <v>773</v>
      </c>
      <c r="N141" s="2" t="s">
        <v>39</v>
      </c>
      <c r="O141" s="2" t="s">
        <v>40</v>
      </c>
      <c r="P141" s="2">
        <v>0</v>
      </c>
      <c r="Q141" s="2" t="s">
        <v>95</v>
      </c>
      <c r="R141" t="str">
        <f t="shared" si="2"/>
        <v>N</v>
      </c>
    </row>
    <row r="142" spans="1:18" x14ac:dyDescent="0.3">
      <c r="A142" s="1" t="s">
        <v>224</v>
      </c>
      <c r="B142" s="1">
        <v>22</v>
      </c>
      <c r="C142" s="1" t="s">
        <v>18</v>
      </c>
      <c r="D142" s="1" t="s">
        <v>19</v>
      </c>
      <c r="E142" s="1">
        <v>2018</v>
      </c>
      <c r="F142" s="1" t="s">
        <v>69</v>
      </c>
      <c r="G142" s="1" t="s">
        <v>88</v>
      </c>
      <c r="H142" s="1">
        <v>16883</v>
      </c>
      <c r="I142" s="1">
        <v>30</v>
      </c>
      <c r="J142" s="1">
        <v>2</v>
      </c>
      <c r="K142" s="1">
        <v>0</v>
      </c>
      <c r="L142" s="1" t="s">
        <v>35</v>
      </c>
      <c r="M142" s="1">
        <v>361</v>
      </c>
      <c r="N142" s="1" t="s">
        <v>22</v>
      </c>
      <c r="O142" s="1" t="s">
        <v>23</v>
      </c>
      <c r="P142" s="1">
        <v>0</v>
      </c>
      <c r="Q142" s="1" t="s">
        <v>51</v>
      </c>
      <c r="R142" t="str">
        <f t="shared" si="2"/>
        <v>N</v>
      </c>
    </row>
    <row r="143" spans="1:18" x14ac:dyDescent="0.3">
      <c r="A143" s="2" t="s">
        <v>225</v>
      </c>
      <c r="B143" s="2">
        <v>44</v>
      </c>
      <c r="C143" s="2" t="s">
        <v>18</v>
      </c>
      <c r="D143" s="2" t="s">
        <v>19</v>
      </c>
      <c r="E143" s="2">
        <v>2024</v>
      </c>
      <c r="F143" s="2" t="s">
        <v>46</v>
      </c>
      <c r="G143" s="2" t="s">
        <v>47</v>
      </c>
      <c r="H143" s="2">
        <v>15533</v>
      </c>
      <c r="I143" s="2">
        <v>25</v>
      </c>
      <c r="J143" s="2">
        <v>1</v>
      </c>
      <c r="K143" s="2">
        <v>1</v>
      </c>
      <c r="L143" s="2" t="s">
        <v>35</v>
      </c>
      <c r="M143" s="2">
        <v>436</v>
      </c>
      <c r="N143" s="2" t="s">
        <v>39</v>
      </c>
      <c r="O143" s="2" t="s">
        <v>30</v>
      </c>
      <c r="P143" s="2">
        <v>0</v>
      </c>
      <c r="Q143" s="2" t="s">
        <v>98</v>
      </c>
      <c r="R143" t="str">
        <f t="shared" si="2"/>
        <v>N</v>
      </c>
    </row>
    <row r="144" spans="1:18" x14ac:dyDescent="0.3">
      <c r="A144" s="1" t="s">
        <v>226</v>
      </c>
      <c r="B144" s="1">
        <v>22</v>
      </c>
      <c r="C144" s="1" t="s">
        <v>60</v>
      </c>
      <c r="D144" s="1" t="s">
        <v>19</v>
      </c>
      <c r="E144" s="1">
        <v>2023</v>
      </c>
      <c r="F144" s="1" t="s">
        <v>65</v>
      </c>
      <c r="G144" s="1" t="s">
        <v>61</v>
      </c>
      <c r="H144" s="1">
        <v>3744</v>
      </c>
      <c r="I144" s="1">
        <v>31</v>
      </c>
      <c r="J144" s="1">
        <v>1</v>
      </c>
      <c r="K144" s="1">
        <v>3</v>
      </c>
      <c r="L144" s="1" t="s">
        <v>35</v>
      </c>
      <c r="M144" s="1">
        <v>734</v>
      </c>
      <c r="N144" s="1" t="s">
        <v>39</v>
      </c>
      <c r="O144" s="1" t="s">
        <v>431</v>
      </c>
      <c r="P144" s="1">
        <v>500</v>
      </c>
      <c r="Q144" s="1" t="s">
        <v>142</v>
      </c>
      <c r="R144" t="str">
        <f t="shared" si="2"/>
        <v>Y</v>
      </c>
    </row>
    <row r="145" spans="1:18" x14ac:dyDescent="0.3">
      <c r="A145" s="2" t="s">
        <v>227</v>
      </c>
      <c r="B145" s="2">
        <v>47</v>
      </c>
      <c r="C145" s="2" t="s">
        <v>18</v>
      </c>
      <c r="D145" s="2" t="s">
        <v>19</v>
      </c>
      <c r="E145" s="2">
        <v>2008</v>
      </c>
      <c r="F145" s="2" t="s">
        <v>65</v>
      </c>
      <c r="G145" s="2" t="s">
        <v>61</v>
      </c>
      <c r="H145" s="2">
        <v>4055</v>
      </c>
      <c r="I145" s="2">
        <v>28</v>
      </c>
      <c r="J145" s="2">
        <v>1</v>
      </c>
      <c r="K145" s="2">
        <v>0</v>
      </c>
      <c r="L145" s="2" t="s">
        <v>35</v>
      </c>
      <c r="M145" s="2">
        <v>511</v>
      </c>
      <c r="N145" s="2" t="s">
        <v>22</v>
      </c>
      <c r="O145" s="2" t="s">
        <v>67</v>
      </c>
      <c r="P145" s="2">
        <v>0</v>
      </c>
      <c r="Q145" s="2" t="s">
        <v>126</v>
      </c>
      <c r="R145" t="str">
        <f t="shared" si="2"/>
        <v>N</v>
      </c>
    </row>
    <row r="146" spans="1:18" x14ac:dyDescent="0.3">
      <c r="A146" s="1" t="s">
        <v>228</v>
      </c>
      <c r="B146" s="1">
        <v>56</v>
      </c>
      <c r="C146" s="1" t="s">
        <v>60</v>
      </c>
      <c r="D146" s="1" t="s">
        <v>33</v>
      </c>
      <c r="E146" s="1">
        <v>2007</v>
      </c>
      <c r="F146" s="1" t="s">
        <v>69</v>
      </c>
      <c r="G146" s="1" t="s">
        <v>34</v>
      </c>
      <c r="H146" s="1">
        <v>17383</v>
      </c>
      <c r="I146" s="1">
        <v>39</v>
      </c>
      <c r="J146" s="1">
        <v>1</v>
      </c>
      <c r="K146" s="1">
        <v>0</v>
      </c>
      <c r="L146" s="1" t="s">
        <v>35</v>
      </c>
      <c r="M146" s="1">
        <v>443</v>
      </c>
      <c r="N146" s="1" t="s">
        <v>39</v>
      </c>
      <c r="O146" s="1" t="s">
        <v>40</v>
      </c>
      <c r="P146" s="1">
        <v>500</v>
      </c>
      <c r="Q146" s="1" t="s">
        <v>80</v>
      </c>
      <c r="R146" t="str">
        <f t="shared" si="2"/>
        <v>Y</v>
      </c>
    </row>
    <row r="147" spans="1:18" x14ac:dyDescent="0.3">
      <c r="A147" s="2" t="s">
        <v>229</v>
      </c>
      <c r="B147" s="2">
        <v>38</v>
      </c>
      <c r="C147" s="2" t="s">
        <v>60</v>
      </c>
      <c r="D147" s="2" t="s">
        <v>85</v>
      </c>
      <c r="E147" s="2">
        <v>2007</v>
      </c>
      <c r="F147" s="2" t="s">
        <v>27</v>
      </c>
      <c r="G147" s="2" t="s">
        <v>28</v>
      </c>
      <c r="H147" s="2">
        <v>24633</v>
      </c>
      <c r="I147" s="2">
        <v>18</v>
      </c>
      <c r="J147" s="2">
        <v>0</v>
      </c>
      <c r="K147" s="2">
        <v>1</v>
      </c>
      <c r="L147" s="2" t="s">
        <v>29</v>
      </c>
      <c r="M147" s="2">
        <v>581</v>
      </c>
      <c r="N147" s="2" t="s">
        <v>22</v>
      </c>
      <c r="O147" s="2" t="s">
        <v>62</v>
      </c>
      <c r="P147" s="2">
        <v>0</v>
      </c>
      <c r="Q147" s="2" t="s">
        <v>48</v>
      </c>
      <c r="R147" t="str">
        <f t="shared" si="2"/>
        <v>N</v>
      </c>
    </row>
    <row r="148" spans="1:18" x14ac:dyDescent="0.3">
      <c r="A148" s="1" t="s">
        <v>230</v>
      </c>
      <c r="B148" s="1">
        <v>53</v>
      </c>
      <c r="C148" s="1" t="s">
        <v>60</v>
      </c>
      <c r="D148" s="1" t="s">
        <v>33</v>
      </c>
      <c r="E148" s="1">
        <v>2011</v>
      </c>
      <c r="F148" s="1" t="s">
        <v>46</v>
      </c>
      <c r="G148" s="1" t="s">
        <v>400</v>
      </c>
      <c r="H148" s="1">
        <v>13444</v>
      </c>
      <c r="I148" s="1">
        <v>34</v>
      </c>
      <c r="J148" s="1">
        <v>1</v>
      </c>
      <c r="K148" s="1">
        <v>0</v>
      </c>
      <c r="L148" s="1" t="s">
        <v>29</v>
      </c>
      <c r="M148" s="1">
        <v>685</v>
      </c>
      <c r="N148" s="1" t="s">
        <v>22</v>
      </c>
      <c r="O148" s="1" t="s">
        <v>62</v>
      </c>
      <c r="P148" s="1">
        <v>15000</v>
      </c>
      <c r="Q148" s="1" t="s">
        <v>142</v>
      </c>
      <c r="R148" t="str">
        <f t="shared" si="2"/>
        <v>Y</v>
      </c>
    </row>
    <row r="149" spans="1:18" x14ac:dyDescent="0.3">
      <c r="A149" s="2" t="s">
        <v>231</v>
      </c>
      <c r="B149" s="2">
        <v>72</v>
      </c>
      <c r="C149" s="2" t="s">
        <v>18</v>
      </c>
      <c r="D149" s="2" t="s">
        <v>85</v>
      </c>
      <c r="E149" s="2">
        <v>2022</v>
      </c>
      <c r="F149" s="2" t="s">
        <v>65</v>
      </c>
      <c r="G149" s="2" t="s">
        <v>77</v>
      </c>
      <c r="H149" s="2">
        <v>4888</v>
      </c>
      <c r="I149" s="2">
        <v>52</v>
      </c>
      <c r="J149" s="2">
        <v>1</v>
      </c>
      <c r="K149" s="2">
        <v>1</v>
      </c>
      <c r="L149" s="2" t="s">
        <v>35</v>
      </c>
      <c r="M149" s="2">
        <v>842</v>
      </c>
      <c r="N149" s="2" t="s">
        <v>22</v>
      </c>
      <c r="O149" s="2" t="s">
        <v>431</v>
      </c>
      <c r="P149" s="2">
        <v>500</v>
      </c>
      <c r="Q149" s="2" t="s">
        <v>63</v>
      </c>
      <c r="R149" t="str">
        <f t="shared" si="2"/>
        <v>Y</v>
      </c>
    </row>
    <row r="150" spans="1:18" x14ac:dyDescent="0.3">
      <c r="A150" s="1" t="s">
        <v>232</v>
      </c>
      <c r="B150" s="1">
        <v>31</v>
      </c>
      <c r="C150" s="1" t="s">
        <v>18</v>
      </c>
      <c r="D150" s="1" t="s">
        <v>33</v>
      </c>
      <c r="E150" s="1">
        <v>2014</v>
      </c>
      <c r="F150" s="1" t="s">
        <v>27</v>
      </c>
      <c r="G150" s="1" t="s">
        <v>28</v>
      </c>
      <c r="H150" s="1">
        <v>20551</v>
      </c>
      <c r="I150" s="1">
        <v>14</v>
      </c>
      <c r="J150" s="1">
        <v>0</v>
      </c>
      <c r="K150" s="1">
        <v>1</v>
      </c>
      <c r="L150" s="1" t="s">
        <v>29</v>
      </c>
      <c r="M150" s="1">
        <v>340</v>
      </c>
      <c r="N150" s="1" t="s">
        <v>22</v>
      </c>
      <c r="O150" s="1" t="s">
        <v>36</v>
      </c>
      <c r="P150" s="1">
        <v>500</v>
      </c>
      <c r="Q150" s="1" t="s">
        <v>108</v>
      </c>
      <c r="R150" t="str">
        <f t="shared" si="2"/>
        <v>Y</v>
      </c>
    </row>
    <row r="151" spans="1:18" x14ac:dyDescent="0.3">
      <c r="A151" s="2" t="s">
        <v>233</v>
      </c>
      <c r="B151" s="2">
        <v>31</v>
      </c>
      <c r="C151" s="2" t="s">
        <v>18</v>
      </c>
      <c r="D151" s="2" t="s">
        <v>85</v>
      </c>
      <c r="E151" s="2">
        <v>2000</v>
      </c>
      <c r="F151" s="2" t="s">
        <v>65</v>
      </c>
      <c r="G151" s="2" t="s">
        <v>61</v>
      </c>
      <c r="H151" s="2">
        <v>6844</v>
      </c>
      <c r="I151" s="2">
        <v>12</v>
      </c>
      <c r="J151" s="2">
        <v>0</v>
      </c>
      <c r="K151" s="2">
        <v>3</v>
      </c>
      <c r="L151" s="2" t="s">
        <v>35</v>
      </c>
      <c r="M151" s="2">
        <v>509</v>
      </c>
      <c r="N151" s="2" t="s">
        <v>75</v>
      </c>
      <c r="O151" s="2" t="s">
        <v>36</v>
      </c>
      <c r="P151" s="2">
        <v>3000</v>
      </c>
      <c r="Q151" s="2" t="s">
        <v>51</v>
      </c>
      <c r="R151" t="str">
        <f t="shared" si="2"/>
        <v>Y</v>
      </c>
    </row>
    <row r="152" spans="1:18" x14ac:dyDescent="0.3">
      <c r="A152" s="1" t="s">
        <v>234</v>
      </c>
      <c r="B152" s="1">
        <v>42</v>
      </c>
      <c r="C152" s="1" t="s">
        <v>60</v>
      </c>
      <c r="D152" s="1" t="s">
        <v>85</v>
      </c>
      <c r="E152" s="1">
        <v>2009</v>
      </c>
      <c r="F152" s="1" t="s">
        <v>27</v>
      </c>
      <c r="G152" s="1" t="s">
        <v>38</v>
      </c>
      <c r="H152" s="1">
        <v>19803</v>
      </c>
      <c r="I152" s="1">
        <v>23</v>
      </c>
      <c r="J152" s="1">
        <v>1</v>
      </c>
      <c r="K152" s="1">
        <v>0</v>
      </c>
      <c r="L152" s="1" t="s">
        <v>29</v>
      </c>
      <c r="M152" s="1">
        <v>627</v>
      </c>
      <c r="N152" s="1" t="s">
        <v>22</v>
      </c>
      <c r="O152" s="1" t="s">
        <v>30</v>
      </c>
      <c r="P152" s="1">
        <v>3000</v>
      </c>
      <c r="Q152" s="1" t="s">
        <v>48</v>
      </c>
      <c r="R152" t="str">
        <f t="shared" si="2"/>
        <v>Y</v>
      </c>
    </row>
    <row r="153" spans="1:18" x14ac:dyDescent="0.3">
      <c r="A153" s="2" t="s">
        <v>235</v>
      </c>
      <c r="B153" s="2">
        <v>20</v>
      </c>
      <c r="C153" s="2" t="s">
        <v>60</v>
      </c>
      <c r="D153" s="2" t="s">
        <v>19</v>
      </c>
      <c r="E153" s="2">
        <v>2023</v>
      </c>
      <c r="F153" s="2" t="s">
        <v>65</v>
      </c>
      <c r="G153" s="2" t="s">
        <v>61</v>
      </c>
      <c r="H153" s="2">
        <v>11545</v>
      </c>
      <c r="I153" s="2">
        <v>0</v>
      </c>
      <c r="J153" s="2">
        <v>1</v>
      </c>
      <c r="K153" s="2">
        <v>2</v>
      </c>
      <c r="L153" s="2" t="s">
        <v>29</v>
      </c>
      <c r="M153" s="2">
        <v>602</v>
      </c>
      <c r="N153" s="2" t="s">
        <v>22</v>
      </c>
      <c r="O153" s="2" t="s">
        <v>36</v>
      </c>
      <c r="P153" s="2">
        <v>3000</v>
      </c>
      <c r="Q153" s="2" t="s">
        <v>142</v>
      </c>
      <c r="R153" t="str">
        <f t="shared" si="2"/>
        <v>Y</v>
      </c>
    </row>
    <row r="154" spans="1:18" x14ac:dyDescent="0.3">
      <c r="A154" s="1" t="s">
        <v>236</v>
      </c>
      <c r="B154" s="1">
        <v>42</v>
      </c>
      <c r="C154" s="1" t="s">
        <v>60</v>
      </c>
      <c r="D154" s="1" t="s">
        <v>19</v>
      </c>
      <c r="E154" s="1">
        <v>2015</v>
      </c>
      <c r="F154" s="1" t="s">
        <v>79</v>
      </c>
      <c r="G154" s="1" t="s">
        <v>184</v>
      </c>
      <c r="H154" s="1">
        <v>14061</v>
      </c>
      <c r="I154" s="1">
        <v>24</v>
      </c>
      <c r="J154" s="1">
        <v>1</v>
      </c>
      <c r="K154" s="1">
        <v>3</v>
      </c>
      <c r="L154" s="1" t="s">
        <v>29</v>
      </c>
      <c r="M154" s="1">
        <v>771</v>
      </c>
      <c r="N154" s="1" t="s">
        <v>22</v>
      </c>
      <c r="O154" s="1" t="s">
        <v>30</v>
      </c>
      <c r="P154" s="1">
        <v>0</v>
      </c>
      <c r="Q154" s="1" t="s">
        <v>105</v>
      </c>
      <c r="R154" t="str">
        <f t="shared" si="2"/>
        <v>N</v>
      </c>
    </row>
    <row r="155" spans="1:18" x14ac:dyDescent="0.3">
      <c r="A155" s="2" t="s">
        <v>237</v>
      </c>
      <c r="B155" s="2">
        <v>64</v>
      </c>
      <c r="C155" s="2" t="s">
        <v>60</v>
      </c>
      <c r="D155" s="2" t="s">
        <v>26</v>
      </c>
      <c r="E155" s="2">
        <v>2005</v>
      </c>
      <c r="F155" s="2" t="s">
        <v>79</v>
      </c>
      <c r="G155" s="2" t="s">
        <v>184</v>
      </c>
      <c r="H155" s="2">
        <v>4924</v>
      </c>
      <c r="I155" s="2">
        <v>44</v>
      </c>
      <c r="J155" s="2">
        <v>0</v>
      </c>
      <c r="K155" s="2">
        <v>0</v>
      </c>
      <c r="L155" s="2" t="s">
        <v>35</v>
      </c>
      <c r="M155" s="2">
        <v>306</v>
      </c>
      <c r="N155" s="2" t="s">
        <v>75</v>
      </c>
      <c r="O155" s="2" t="s">
        <v>43</v>
      </c>
      <c r="P155" s="2">
        <v>500</v>
      </c>
      <c r="Q155" s="2" t="s">
        <v>37</v>
      </c>
      <c r="R155" t="str">
        <f t="shared" si="2"/>
        <v>Y</v>
      </c>
    </row>
    <row r="156" spans="1:18" x14ac:dyDescent="0.3">
      <c r="A156" s="1" t="s">
        <v>238</v>
      </c>
      <c r="B156" s="1">
        <v>63</v>
      </c>
      <c r="C156" s="1" t="s">
        <v>18</v>
      </c>
      <c r="D156" s="1" t="s">
        <v>33</v>
      </c>
      <c r="E156" s="1">
        <v>2006</v>
      </c>
      <c r="F156" s="1" t="s">
        <v>79</v>
      </c>
      <c r="G156" s="1" t="s">
        <v>129</v>
      </c>
      <c r="H156" s="1">
        <v>15229</v>
      </c>
      <c r="I156" s="1">
        <v>47</v>
      </c>
      <c r="J156" s="1">
        <v>1</v>
      </c>
      <c r="K156" s="1">
        <v>3</v>
      </c>
      <c r="L156" s="1" t="s">
        <v>35</v>
      </c>
      <c r="M156" s="1">
        <v>794</v>
      </c>
      <c r="N156" s="1" t="s">
        <v>39</v>
      </c>
      <c r="O156" s="1" t="s">
        <v>23</v>
      </c>
      <c r="P156" s="1">
        <v>0</v>
      </c>
      <c r="Q156" s="1" t="s">
        <v>24</v>
      </c>
      <c r="R156" t="str">
        <f t="shared" si="2"/>
        <v>N</v>
      </c>
    </row>
    <row r="157" spans="1:18" x14ac:dyDescent="0.3">
      <c r="A157" s="2" t="s">
        <v>239</v>
      </c>
      <c r="B157" s="2">
        <v>52</v>
      </c>
      <c r="C157" s="2" t="s">
        <v>60</v>
      </c>
      <c r="D157" s="2" t="s">
        <v>26</v>
      </c>
      <c r="E157" s="2">
        <v>2000</v>
      </c>
      <c r="F157" s="2" t="s">
        <v>69</v>
      </c>
      <c r="G157" s="2" t="s">
        <v>70</v>
      </c>
      <c r="H157" s="2">
        <v>12002</v>
      </c>
      <c r="I157" s="2">
        <v>32</v>
      </c>
      <c r="J157" s="2">
        <v>0</v>
      </c>
      <c r="K157" s="2">
        <v>0</v>
      </c>
      <c r="L157" s="2" t="s">
        <v>35</v>
      </c>
      <c r="M157" s="2">
        <v>740</v>
      </c>
      <c r="N157" s="2" t="s">
        <v>22</v>
      </c>
      <c r="O157" s="2" t="s">
        <v>67</v>
      </c>
      <c r="P157" s="2">
        <v>0</v>
      </c>
      <c r="Q157" s="2" t="s">
        <v>103</v>
      </c>
      <c r="R157" t="str">
        <f t="shared" si="2"/>
        <v>N</v>
      </c>
    </row>
    <row r="158" spans="1:18" x14ac:dyDescent="0.3">
      <c r="A158" s="1" t="s">
        <v>240</v>
      </c>
      <c r="B158" s="1">
        <v>27</v>
      </c>
      <c r="C158" s="1" t="s">
        <v>18</v>
      </c>
      <c r="D158" s="1" t="s">
        <v>19</v>
      </c>
      <c r="E158" s="1">
        <v>2019</v>
      </c>
      <c r="F158" s="1" t="s">
        <v>79</v>
      </c>
      <c r="G158" s="1" t="s">
        <v>129</v>
      </c>
      <c r="H158" s="1">
        <v>14614</v>
      </c>
      <c r="I158" s="1">
        <v>9</v>
      </c>
      <c r="J158" s="1">
        <v>1</v>
      </c>
      <c r="K158" s="1">
        <v>0</v>
      </c>
      <c r="L158" s="1" t="s">
        <v>29</v>
      </c>
      <c r="M158" s="1">
        <v>715</v>
      </c>
      <c r="N158" s="1" t="s">
        <v>75</v>
      </c>
      <c r="O158" s="1" t="s">
        <v>432</v>
      </c>
      <c r="P158" s="1">
        <v>500</v>
      </c>
      <c r="Q158" s="1" t="s">
        <v>142</v>
      </c>
      <c r="R158" t="str">
        <f t="shared" si="2"/>
        <v>Y</v>
      </c>
    </row>
    <row r="159" spans="1:18" x14ac:dyDescent="0.3">
      <c r="A159" s="2" t="s">
        <v>241</v>
      </c>
      <c r="B159" s="2">
        <v>49</v>
      </c>
      <c r="C159" s="2" t="s">
        <v>60</v>
      </c>
      <c r="D159" s="2" t="s">
        <v>85</v>
      </c>
      <c r="E159" s="2">
        <v>2018</v>
      </c>
      <c r="F159" s="2" t="s">
        <v>69</v>
      </c>
      <c r="G159" s="2" t="s">
        <v>88</v>
      </c>
      <c r="H159" s="2">
        <v>10528</v>
      </c>
      <c r="I159" s="2">
        <v>32</v>
      </c>
      <c r="J159" s="2">
        <v>2</v>
      </c>
      <c r="K159" s="2">
        <v>2</v>
      </c>
      <c r="L159" s="2" t="s">
        <v>29</v>
      </c>
      <c r="M159" s="2">
        <v>577</v>
      </c>
      <c r="N159" s="2" t="s">
        <v>22</v>
      </c>
      <c r="O159" s="2" t="s">
        <v>67</v>
      </c>
      <c r="P159" s="2">
        <v>1200</v>
      </c>
      <c r="Q159" s="2" t="s">
        <v>44</v>
      </c>
      <c r="R159" t="str">
        <f t="shared" si="2"/>
        <v>Y</v>
      </c>
    </row>
    <row r="160" spans="1:18" x14ac:dyDescent="0.3">
      <c r="A160" s="1" t="s">
        <v>242</v>
      </c>
      <c r="B160" s="1">
        <v>54</v>
      </c>
      <c r="C160" s="1" t="s">
        <v>60</v>
      </c>
      <c r="D160" s="1" t="s">
        <v>33</v>
      </c>
      <c r="E160" s="1">
        <v>2005</v>
      </c>
      <c r="F160" s="1" t="s">
        <v>27</v>
      </c>
      <c r="G160" s="1" t="s">
        <v>28</v>
      </c>
      <c r="H160" s="1">
        <v>9788</v>
      </c>
      <c r="I160" s="1">
        <v>34</v>
      </c>
      <c r="J160" s="1">
        <v>0</v>
      </c>
      <c r="K160" s="1">
        <v>3</v>
      </c>
      <c r="L160" s="1" t="s">
        <v>29</v>
      </c>
      <c r="M160" s="1">
        <v>378</v>
      </c>
      <c r="N160" s="1" t="s">
        <v>75</v>
      </c>
      <c r="O160" s="1" t="s">
        <v>43</v>
      </c>
      <c r="P160" s="1">
        <v>500</v>
      </c>
      <c r="Q160" s="1" t="s">
        <v>80</v>
      </c>
      <c r="R160" t="str">
        <f t="shared" si="2"/>
        <v>Y</v>
      </c>
    </row>
    <row r="161" spans="1:18" x14ac:dyDescent="0.3">
      <c r="A161" s="2" t="s">
        <v>243</v>
      </c>
      <c r="B161" s="2">
        <v>71</v>
      </c>
      <c r="C161" s="2" t="s">
        <v>60</v>
      </c>
      <c r="D161" s="2" t="s">
        <v>85</v>
      </c>
      <c r="E161" s="2">
        <v>2012</v>
      </c>
      <c r="F161" s="2" t="s">
        <v>65</v>
      </c>
      <c r="G161" s="2" t="s">
        <v>66</v>
      </c>
      <c r="H161" s="2">
        <v>5569</v>
      </c>
      <c r="I161" s="2">
        <v>51</v>
      </c>
      <c r="J161" s="2">
        <v>2</v>
      </c>
      <c r="K161" s="2">
        <v>1</v>
      </c>
      <c r="L161" s="2" t="s">
        <v>35</v>
      </c>
      <c r="M161" s="2">
        <v>400</v>
      </c>
      <c r="N161" s="2" t="s">
        <v>75</v>
      </c>
      <c r="O161" s="2" t="s">
        <v>36</v>
      </c>
      <c r="P161" s="2">
        <v>0</v>
      </c>
      <c r="Q161" s="2" t="s">
        <v>58</v>
      </c>
      <c r="R161" t="str">
        <f t="shared" si="2"/>
        <v>N</v>
      </c>
    </row>
    <row r="162" spans="1:18" x14ac:dyDescent="0.3">
      <c r="A162" s="1" t="s">
        <v>244</v>
      </c>
      <c r="B162" s="1">
        <v>56</v>
      </c>
      <c r="C162" s="1" t="s">
        <v>60</v>
      </c>
      <c r="D162" s="1" t="s">
        <v>26</v>
      </c>
      <c r="E162" s="1">
        <v>2024</v>
      </c>
      <c r="F162" s="1" t="s">
        <v>27</v>
      </c>
      <c r="G162" s="1" t="s">
        <v>28</v>
      </c>
      <c r="H162" s="1">
        <v>23778</v>
      </c>
      <c r="I162" s="1">
        <v>38</v>
      </c>
      <c r="J162" s="1">
        <v>1</v>
      </c>
      <c r="K162" s="1">
        <v>1</v>
      </c>
      <c r="L162" s="1" t="s">
        <v>35</v>
      </c>
      <c r="M162" s="1">
        <v>664</v>
      </c>
      <c r="N162" s="1" t="s">
        <v>39</v>
      </c>
      <c r="O162" s="1" t="s">
        <v>431</v>
      </c>
      <c r="P162" s="1">
        <v>7500</v>
      </c>
      <c r="Q162" s="1" t="s">
        <v>98</v>
      </c>
      <c r="R162" t="str">
        <f t="shared" si="2"/>
        <v>Y</v>
      </c>
    </row>
    <row r="163" spans="1:18" x14ac:dyDescent="0.3">
      <c r="A163" s="2" t="s">
        <v>245</v>
      </c>
      <c r="B163" s="2">
        <v>61</v>
      </c>
      <c r="C163" s="2" t="s">
        <v>60</v>
      </c>
      <c r="D163" s="2" t="s">
        <v>26</v>
      </c>
      <c r="E163" s="2">
        <v>2002</v>
      </c>
      <c r="F163" s="2" t="s">
        <v>20</v>
      </c>
      <c r="G163" s="2" t="s">
        <v>50</v>
      </c>
      <c r="H163" s="2">
        <v>11075</v>
      </c>
      <c r="I163" s="2">
        <v>45</v>
      </c>
      <c r="J163" s="2">
        <v>0</v>
      </c>
      <c r="K163" s="2">
        <v>1</v>
      </c>
      <c r="L163" s="2" t="s">
        <v>35</v>
      </c>
      <c r="M163" s="2">
        <v>689</v>
      </c>
      <c r="N163" s="2" t="s">
        <v>39</v>
      </c>
      <c r="O163" s="2" t="s">
        <v>43</v>
      </c>
      <c r="P163" s="2">
        <v>7500</v>
      </c>
      <c r="Q163" s="2" t="s">
        <v>58</v>
      </c>
      <c r="R163" t="str">
        <f t="shared" si="2"/>
        <v>Y</v>
      </c>
    </row>
    <row r="164" spans="1:18" x14ac:dyDescent="0.3">
      <c r="A164" s="1" t="s">
        <v>246</v>
      </c>
      <c r="B164" s="1">
        <v>41</v>
      </c>
      <c r="C164" s="1" t="s">
        <v>18</v>
      </c>
      <c r="D164" s="1" t="s">
        <v>33</v>
      </c>
      <c r="E164" s="1">
        <v>2000</v>
      </c>
      <c r="F164" s="1" t="s">
        <v>27</v>
      </c>
      <c r="G164" s="1" t="s">
        <v>38</v>
      </c>
      <c r="H164" s="1">
        <v>14793</v>
      </c>
      <c r="I164" s="1">
        <v>23</v>
      </c>
      <c r="J164" s="1">
        <v>0</v>
      </c>
      <c r="K164" s="1">
        <v>0</v>
      </c>
      <c r="L164" s="1" t="s">
        <v>35</v>
      </c>
      <c r="M164" s="1">
        <v>491</v>
      </c>
      <c r="N164" s="1" t="s">
        <v>75</v>
      </c>
      <c r="O164" s="1" t="s">
        <v>23</v>
      </c>
      <c r="P164" s="1">
        <v>7500</v>
      </c>
      <c r="Q164" s="1" t="s">
        <v>86</v>
      </c>
      <c r="R164" t="str">
        <f t="shared" si="2"/>
        <v>Y</v>
      </c>
    </row>
    <row r="165" spans="1:18" x14ac:dyDescent="0.3">
      <c r="A165" s="2" t="s">
        <v>247</v>
      </c>
      <c r="B165" s="2">
        <v>19</v>
      </c>
      <c r="C165" s="2" t="s">
        <v>18</v>
      </c>
      <c r="D165" s="2" t="s">
        <v>85</v>
      </c>
      <c r="E165" s="2">
        <v>2017</v>
      </c>
      <c r="F165" s="2" t="s">
        <v>69</v>
      </c>
      <c r="G165" s="2" t="s">
        <v>34</v>
      </c>
      <c r="H165" s="2">
        <v>15623</v>
      </c>
      <c r="I165" s="2">
        <v>3</v>
      </c>
      <c r="J165" s="2">
        <v>0</v>
      </c>
      <c r="K165" s="2">
        <v>1</v>
      </c>
      <c r="L165" s="2" t="s">
        <v>29</v>
      </c>
      <c r="M165" s="2">
        <v>386</v>
      </c>
      <c r="N165" s="2" t="s">
        <v>39</v>
      </c>
      <c r="O165" s="2" t="s">
        <v>62</v>
      </c>
      <c r="P165" s="2">
        <v>500</v>
      </c>
      <c r="Q165" s="2" t="s">
        <v>80</v>
      </c>
      <c r="R165" t="str">
        <f t="shared" si="2"/>
        <v>Y</v>
      </c>
    </row>
    <row r="166" spans="1:18" x14ac:dyDescent="0.3">
      <c r="A166" s="1" t="s">
        <v>248</v>
      </c>
      <c r="B166" s="1">
        <v>51</v>
      </c>
      <c r="C166" s="1" t="s">
        <v>18</v>
      </c>
      <c r="D166" s="1" t="s">
        <v>26</v>
      </c>
      <c r="E166" s="1">
        <v>2005</v>
      </c>
      <c r="F166" s="1" t="s">
        <v>65</v>
      </c>
      <c r="G166" s="1" t="s">
        <v>77</v>
      </c>
      <c r="H166" s="1">
        <v>12867</v>
      </c>
      <c r="I166" s="1">
        <v>33</v>
      </c>
      <c r="J166" s="1">
        <v>1</v>
      </c>
      <c r="K166" s="1">
        <v>0</v>
      </c>
      <c r="L166" s="1" t="s">
        <v>35</v>
      </c>
      <c r="M166" s="1">
        <v>471</v>
      </c>
      <c r="N166" s="1" t="s">
        <v>75</v>
      </c>
      <c r="O166" s="1" t="s">
        <v>40</v>
      </c>
      <c r="P166" s="1">
        <v>7500</v>
      </c>
      <c r="Q166" s="1" t="s">
        <v>51</v>
      </c>
      <c r="R166" t="str">
        <f t="shared" si="2"/>
        <v>Y</v>
      </c>
    </row>
    <row r="167" spans="1:18" x14ac:dyDescent="0.3">
      <c r="A167" s="2" t="s">
        <v>249</v>
      </c>
      <c r="B167" s="2">
        <v>48</v>
      </c>
      <c r="C167" s="2" t="s">
        <v>18</v>
      </c>
      <c r="D167" s="2" t="s">
        <v>85</v>
      </c>
      <c r="E167" s="2">
        <v>2008</v>
      </c>
      <c r="F167" s="2" t="s">
        <v>65</v>
      </c>
      <c r="G167" s="2" t="s">
        <v>77</v>
      </c>
      <c r="H167" s="2">
        <v>22457</v>
      </c>
      <c r="I167" s="2">
        <v>28</v>
      </c>
      <c r="J167" s="2">
        <v>0</v>
      </c>
      <c r="K167" s="2">
        <v>1</v>
      </c>
      <c r="L167" s="2" t="s">
        <v>35</v>
      </c>
      <c r="M167" s="2">
        <v>438</v>
      </c>
      <c r="N167" s="2" t="s">
        <v>75</v>
      </c>
      <c r="O167" s="2" t="s">
        <v>90</v>
      </c>
      <c r="P167" s="2">
        <v>7500</v>
      </c>
      <c r="Q167" s="2" t="s">
        <v>58</v>
      </c>
      <c r="R167" t="str">
        <f t="shared" si="2"/>
        <v>Y</v>
      </c>
    </row>
    <row r="168" spans="1:18" x14ac:dyDescent="0.3">
      <c r="A168" s="1" t="s">
        <v>149</v>
      </c>
      <c r="B168" s="1">
        <v>71</v>
      </c>
      <c r="C168" s="1" t="s">
        <v>60</v>
      </c>
      <c r="D168" s="1" t="s">
        <v>26</v>
      </c>
      <c r="E168" s="1">
        <v>2010</v>
      </c>
      <c r="F168" s="1" t="s">
        <v>73</v>
      </c>
      <c r="G168" s="1" t="s">
        <v>74</v>
      </c>
      <c r="H168" s="1">
        <v>17110</v>
      </c>
      <c r="I168" s="1">
        <v>51</v>
      </c>
      <c r="J168" s="1">
        <v>0</v>
      </c>
      <c r="K168" s="1">
        <v>1</v>
      </c>
      <c r="L168" s="1" t="s">
        <v>29</v>
      </c>
      <c r="M168" s="1">
        <v>505</v>
      </c>
      <c r="N168" s="1" t="s">
        <v>75</v>
      </c>
      <c r="O168" s="1" t="s">
        <v>30</v>
      </c>
      <c r="P168" s="1">
        <v>0</v>
      </c>
      <c r="Q168" s="1" t="s">
        <v>95</v>
      </c>
      <c r="R168" t="str">
        <f t="shared" si="2"/>
        <v>N</v>
      </c>
    </row>
    <row r="169" spans="1:18" x14ac:dyDescent="0.3">
      <c r="A169" s="2" t="s">
        <v>149</v>
      </c>
      <c r="B169" s="2">
        <v>71</v>
      </c>
      <c r="C169" s="2" t="s">
        <v>60</v>
      </c>
      <c r="D169" s="2" t="s">
        <v>26</v>
      </c>
      <c r="E169" s="2">
        <v>2010</v>
      </c>
      <c r="F169" s="2" t="s">
        <v>73</v>
      </c>
      <c r="G169" s="2" t="s">
        <v>74</v>
      </c>
      <c r="H169" s="2">
        <v>17110</v>
      </c>
      <c r="I169" s="2">
        <v>51</v>
      </c>
      <c r="J169" s="2">
        <v>0</v>
      </c>
      <c r="K169" s="2">
        <v>1</v>
      </c>
      <c r="L169" s="2" t="s">
        <v>29</v>
      </c>
      <c r="M169" s="2">
        <v>505</v>
      </c>
      <c r="N169" s="2" t="s">
        <v>75</v>
      </c>
      <c r="O169" s="2" t="s">
        <v>30</v>
      </c>
      <c r="P169" s="2">
        <v>0</v>
      </c>
      <c r="Q169" s="2" t="s">
        <v>95</v>
      </c>
      <c r="R169" t="str">
        <f t="shared" si="2"/>
        <v>N</v>
      </c>
    </row>
    <row r="170" spans="1:18" x14ac:dyDescent="0.3">
      <c r="A170" s="1" t="s">
        <v>250</v>
      </c>
      <c r="B170" s="1">
        <v>38</v>
      </c>
      <c r="C170" s="1" t="s">
        <v>18</v>
      </c>
      <c r="D170" s="1" t="s">
        <v>26</v>
      </c>
      <c r="E170" s="1">
        <v>2018</v>
      </c>
      <c r="F170" s="1" t="s">
        <v>65</v>
      </c>
      <c r="G170" s="1" t="s">
        <v>77</v>
      </c>
      <c r="H170" s="1">
        <v>15322</v>
      </c>
      <c r="I170" s="1">
        <v>20</v>
      </c>
      <c r="J170" s="1">
        <v>1</v>
      </c>
      <c r="K170" s="1">
        <v>1</v>
      </c>
      <c r="L170" s="1" t="s">
        <v>35</v>
      </c>
      <c r="M170" s="1">
        <v>504</v>
      </c>
      <c r="N170" s="1" t="s">
        <v>39</v>
      </c>
      <c r="O170" s="1" t="s">
        <v>62</v>
      </c>
      <c r="P170" s="1">
        <v>0</v>
      </c>
      <c r="Q170" s="1" t="s">
        <v>44</v>
      </c>
      <c r="R170" t="str">
        <f t="shared" si="2"/>
        <v>N</v>
      </c>
    </row>
    <row r="171" spans="1:18" x14ac:dyDescent="0.3">
      <c r="A171" s="2" t="s">
        <v>251</v>
      </c>
      <c r="B171" s="2">
        <v>19</v>
      </c>
      <c r="C171" s="2" t="s">
        <v>60</v>
      </c>
      <c r="D171" s="2" t="s">
        <v>26</v>
      </c>
      <c r="E171" s="2">
        <v>2022</v>
      </c>
      <c r="F171" s="2" t="s">
        <v>65</v>
      </c>
      <c r="G171" s="2" t="s">
        <v>77</v>
      </c>
      <c r="H171" s="2">
        <v>12546</v>
      </c>
      <c r="I171" s="2">
        <v>3</v>
      </c>
      <c r="J171" s="2">
        <v>1</v>
      </c>
      <c r="K171" s="2">
        <v>3</v>
      </c>
      <c r="L171" s="2" t="s">
        <v>29</v>
      </c>
      <c r="M171" s="2">
        <v>442</v>
      </c>
      <c r="N171" s="2" t="s">
        <v>39</v>
      </c>
      <c r="O171" s="2" t="s">
        <v>40</v>
      </c>
      <c r="P171" s="2">
        <v>500</v>
      </c>
      <c r="Q171" s="2" t="s">
        <v>63</v>
      </c>
      <c r="R171" t="str">
        <f t="shared" si="2"/>
        <v>Y</v>
      </c>
    </row>
    <row r="172" spans="1:18" x14ac:dyDescent="0.3">
      <c r="A172" s="1" t="s">
        <v>252</v>
      </c>
      <c r="B172" s="1">
        <v>60</v>
      </c>
      <c r="C172" s="1" t="s">
        <v>18</v>
      </c>
      <c r="D172" s="1" t="s">
        <v>26</v>
      </c>
      <c r="E172" s="1">
        <v>2012</v>
      </c>
      <c r="F172" s="1" t="s">
        <v>69</v>
      </c>
      <c r="G172" s="1" t="s">
        <v>34</v>
      </c>
      <c r="H172" s="1">
        <v>22593</v>
      </c>
      <c r="I172" s="1">
        <v>41</v>
      </c>
      <c r="J172" s="1">
        <v>1</v>
      </c>
      <c r="K172" s="1">
        <v>1</v>
      </c>
      <c r="L172" s="1" t="s">
        <v>35</v>
      </c>
      <c r="M172" s="1">
        <v>818</v>
      </c>
      <c r="N172" s="1" t="s">
        <v>39</v>
      </c>
      <c r="O172" s="1" t="s">
        <v>431</v>
      </c>
      <c r="P172" s="1">
        <v>0</v>
      </c>
      <c r="Q172" s="1" t="s">
        <v>54</v>
      </c>
      <c r="R172" t="str">
        <f t="shared" si="2"/>
        <v>N</v>
      </c>
    </row>
    <row r="173" spans="1:18" x14ac:dyDescent="0.3">
      <c r="A173" s="2" t="s">
        <v>253</v>
      </c>
      <c r="B173" s="2">
        <v>62</v>
      </c>
      <c r="C173" s="2" t="s">
        <v>60</v>
      </c>
      <c r="D173" s="2" t="s">
        <v>33</v>
      </c>
      <c r="E173" s="2">
        <v>2003</v>
      </c>
      <c r="F173" s="2" t="s">
        <v>65</v>
      </c>
      <c r="G173" s="2" t="s">
        <v>77</v>
      </c>
      <c r="H173" s="2">
        <v>8450</v>
      </c>
      <c r="I173" s="2">
        <v>42</v>
      </c>
      <c r="J173" s="2">
        <v>0</v>
      </c>
      <c r="K173" s="2">
        <v>2</v>
      </c>
      <c r="L173" s="2" t="s">
        <v>29</v>
      </c>
      <c r="M173" s="2">
        <v>639</v>
      </c>
      <c r="N173" s="2" t="s">
        <v>75</v>
      </c>
      <c r="O173" s="2" t="s">
        <v>67</v>
      </c>
      <c r="P173" s="2">
        <v>0</v>
      </c>
      <c r="Q173" s="2" t="s">
        <v>86</v>
      </c>
      <c r="R173" t="str">
        <f t="shared" si="2"/>
        <v>N</v>
      </c>
    </row>
    <row r="174" spans="1:18" x14ac:dyDescent="0.3">
      <c r="A174" s="1" t="s">
        <v>254</v>
      </c>
      <c r="B174" s="1">
        <v>34</v>
      </c>
      <c r="C174" s="1" t="s">
        <v>18</v>
      </c>
      <c r="D174" s="1" t="s">
        <v>19</v>
      </c>
      <c r="E174" s="1">
        <v>2014</v>
      </c>
      <c r="F174" s="1" t="s">
        <v>27</v>
      </c>
      <c r="G174" s="1" t="s">
        <v>38</v>
      </c>
      <c r="H174" s="1">
        <v>18173</v>
      </c>
      <c r="I174" s="1">
        <v>14</v>
      </c>
      <c r="J174" s="1">
        <v>2</v>
      </c>
      <c r="K174" s="1">
        <v>2</v>
      </c>
      <c r="L174" s="1" t="s">
        <v>35</v>
      </c>
      <c r="M174" s="1">
        <v>653</v>
      </c>
      <c r="N174" s="1" t="s">
        <v>22</v>
      </c>
      <c r="O174" s="1" t="s">
        <v>23</v>
      </c>
      <c r="P174" s="1">
        <v>0</v>
      </c>
      <c r="Q174" s="1" t="s">
        <v>51</v>
      </c>
      <c r="R174" t="str">
        <f t="shared" si="2"/>
        <v>N</v>
      </c>
    </row>
    <row r="175" spans="1:18" x14ac:dyDescent="0.3">
      <c r="A175" s="2" t="s">
        <v>255</v>
      </c>
      <c r="B175" s="2">
        <v>44</v>
      </c>
      <c r="C175" s="2" t="s">
        <v>18</v>
      </c>
      <c r="D175" s="2" t="s">
        <v>33</v>
      </c>
      <c r="E175" s="2">
        <v>2023</v>
      </c>
      <c r="F175" s="2" t="s">
        <v>65</v>
      </c>
      <c r="G175" s="2" t="s">
        <v>77</v>
      </c>
      <c r="H175" s="2">
        <v>13220</v>
      </c>
      <c r="I175" s="2">
        <v>26</v>
      </c>
      <c r="J175" s="2">
        <v>1</v>
      </c>
      <c r="K175" s="2">
        <v>0</v>
      </c>
      <c r="L175" s="2" t="s">
        <v>35</v>
      </c>
      <c r="M175" s="2">
        <v>794</v>
      </c>
      <c r="N175" s="2" t="s">
        <v>75</v>
      </c>
      <c r="O175" s="2" t="s">
        <v>23</v>
      </c>
      <c r="P175" s="2">
        <v>0</v>
      </c>
      <c r="Q175" s="2" t="s">
        <v>126</v>
      </c>
      <c r="R175" t="str">
        <f t="shared" si="2"/>
        <v>N</v>
      </c>
    </row>
    <row r="176" spans="1:18" x14ac:dyDescent="0.3">
      <c r="A176" s="1" t="s">
        <v>256</v>
      </c>
      <c r="B176" s="1">
        <v>28</v>
      </c>
      <c r="C176" s="1" t="s">
        <v>18</v>
      </c>
      <c r="D176" s="1" t="s">
        <v>26</v>
      </c>
      <c r="E176" s="1">
        <v>2014</v>
      </c>
      <c r="F176" s="1" t="s">
        <v>65</v>
      </c>
      <c r="G176" s="1" t="s">
        <v>77</v>
      </c>
      <c r="H176" s="1">
        <v>23635</v>
      </c>
      <c r="I176" s="1">
        <v>11</v>
      </c>
      <c r="J176" s="1">
        <v>0</v>
      </c>
      <c r="K176" s="1">
        <v>3</v>
      </c>
      <c r="L176" s="1" t="s">
        <v>29</v>
      </c>
      <c r="M176" s="1">
        <v>705</v>
      </c>
      <c r="N176" s="1" t="s">
        <v>22</v>
      </c>
      <c r="O176" s="1" t="s">
        <v>432</v>
      </c>
      <c r="P176" s="1">
        <v>500</v>
      </c>
      <c r="Q176" s="1" t="s">
        <v>126</v>
      </c>
      <c r="R176" t="str">
        <f t="shared" si="2"/>
        <v>Y</v>
      </c>
    </row>
    <row r="177" spans="1:18" x14ac:dyDescent="0.3">
      <c r="A177" s="2" t="s">
        <v>257</v>
      </c>
      <c r="B177" s="2">
        <v>55</v>
      </c>
      <c r="C177" s="2" t="s">
        <v>60</v>
      </c>
      <c r="D177" s="2" t="s">
        <v>26</v>
      </c>
      <c r="E177" s="2">
        <v>2000</v>
      </c>
      <c r="F177" s="2" t="s">
        <v>65</v>
      </c>
      <c r="G177" s="2" t="s">
        <v>61</v>
      </c>
      <c r="H177" s="2">
        <v>12120</v>
      </c>
      <c r="I177" s="2">
        <v>39</v>
      </c>
      <c r="J177" s="2">
        <v>1</v>
      </c>
      <c r="K177" s="2">
        <v>0</v>
      </c>
      <c r="L177" s="2" t="s">
        <v>35</v>
      </c>
      <c r="M177" s="2">
        <v>491</v>
      </c>
      <c r="N177" s="2" t="s">
        <v>75</v>
      </c>
      <c r="O177" s="2" t="s">
        <v>30</v>
      </c>
      <c r="P177" s="2">
        <v>500</v>
      </c>
      <c r="Q177" s="2" t="s">
        <v>126</v>
      </c>
      <c r="R177" t="str">
        <f t="shared" si="2"/>
        <v>Y</v>
      </c>
    </row>
    <row r="178" spans="1:18" x14ac:dyDescent="0.3">
      <c r="A178" s="1" t="s">
        <v>258</v>
      </c>
      <c r="B178" s="1">
        <v>25</v>
      </c>
      <c r="C178" s="1" t="s">
        <v>18</v>
      </c>
      <c r="D178" s="1" t="s">
        <v>26</v>
      </c>
      <c r="E178" s="1">
        <v>2016</v>
      </c>
      <c r="F178" s="1" t="s">
        <v>27</v>
      </c>
      <c r="G178" s="1" t="s">
        <v>38</v>
      </c>
      <c r="H178" s="1">
        <v>23031</v>
      </c>
      <c r="I178" s="1">
        <v>6</v>
      </c>
      <c r="J178" s="1">
        <v>1</v>
      </c>
      <c r="K178" s="1">
        <v>0</v>
      </c>
      <c r="L178" s="1" t="s">
        <v>29</v>
      </c>
      <c r="M178" s="1">
        <v>660</v>
      </c>
      <c r="N178" s="1" t="s">
        <v>75</v>
      </c>
      <c r="O178" s="1" t="s">
        <v>432</v>
      </c>
      <c r="P178" s="1">
        <v>0</v>
      </c>
      <c r="Q178" s="1" t="s">
        <v>51</v>
      </c>
      <c r="R178" t="str">
        <f t="shared" si="2"/>
        <v>N</v>
      </c>
    </row>
    <row r="179" spans="1:18" x14ac:dyDescent="0.3">
      <c r="A179" s="2" t="s">
        <v>259</v>
      </c>
      <c r="B179" s="2">
        <v>57</v>
      </c>
      <c r="C179" s="2" t="s">
        <v>60</v>
      </c>
      <c r="D179" s="2" t="s">
        <v>33</v>
      </c>
      <c r="E179" s="2">
        <v>2021</v>
      </c>
      <c r="F179" s="2" t="s">
        <v>65</v>
      </c>
      <c r="G179" s="2" t="s">
        <v>77</v>
      </c>
      <c r="H179" s="2">
        <v>6862</v>
      </c>
      <c r="I179" s="2">
        <v>40</v>
      </c>
      <c r="J179" s="2">
        <v>0</v>
      </c>
      <c r="K179" s="2">
        <v>0</v>
      </c>
      <c r="L179" s="2" t="s">
        <v>35</v>
      </c>
      <c r="M179" s="2">
        <v>682</v>
      </c>
      <c r="N179" s="2" t="s">
        <v>39</v>
      </c>
      <c r="O179" s="2" t="s">
        <v>43</v>
      </c>
      <c r="P179" s="2">
        <v>7500</v>
      </c>
      <c r="Q179" s="2" t="s">
        <v>48</v>
      </c>
      <c r="R179" t="str">
        <f t="shared" si="2"/>
        <v>Y</v>
      </c>
    </row>
    <row r="180" spans="1:18" x14ac:dyDescent="0.3">
      <c r="A180" s="1" t="s">
        <v>260</v>
      </c>
      <c r="B180" s="1">
        <v>56</v>
      </c>
      <c r="C180" s="1" t="s">
        <v>18</v>
      </c>
      <c r="D180" s="1" t="s">
        <v>26</v>
      </c>
      <c r="E180" s="1">
        <v>2013</v>
      </c>
      <c r="F180" s="1" t="s">
        <v>65</v>
      </c>
      <c r="G180" s="1" t="s">
        <v>77</v>
      </c>
      <c r="H180" s="1">
        <v>23824</v>
      </c>
      <c r="I180" s="1">
        <v>36</v>
      </c>
      <c r="J180" s="1">
        <v>2</v>
      </c>
      <c r="K180" s="1">
        <v>3</v>
      </c>
      <c r="L180" s="1" t="s">
        <v>35</v>
      </c>
      <c r="M180" s="1">
        <v>470</v>
      </c>
      <c r="N180" s="1" t="s">
        <v>75</v>
      </c>
      <c r="O180" s="1" t="s">
        <v>40</v>
      </c>
      <c r="P180" s="1">
        <v>0</v>
      </c>
      <c r="Q180" s="1" t="s">
        <v>98</v>
      </c>
      <c r="R180" t="str">
        <f t="shared" si="2"/>
        <v>N</v>
      </c>
    </row>
    <row r="181" spans="1:18" x14ac:dyDescent="0.3">
      <c r="A181" s="2" t="s">
        <v>261</v>
      </c>
      <c r="B181" s="2">
        <v>38</v>
      </c>
      <c r="C181" s="2" t="s">
        <v>60</v>
      </c>
      <c r="D181" s="2" t="s">
        <v>33</v>
      </c>
      <c r="E181" s="2">
        <v>2011</v>
      </c>
      <c r="F181" s="2" t="s">
        <v>69</v>
      </c>
      <c r="G181" s="2" t="s">
        <v>34</v>
      </c>
      <c r="H181" s="2">
        <v>7473</v>
      </c>
      <c r="I181" s="2">
        <v>21</v>
      </c>
      <c r="J181" s="2">
        <v>1</v>
      </c>
      <c r="K181" s="2">
        <v>2</v>
      </c>
      <c r="L181" s="2" t="s">
        <v>35</v>
      </c>
      <c r="M181" s="2">
        <v>806</v>
      </c>
      <c r="N181" s="2" t="s">
        <v>75</v>
      </c>
      <c r="O181" s="2" t="s">
        <v>23</v>
      </c>
      <c r="P181" s="2">
        <v>7500</v>
      </c>
      <c r="Q181" s="2" t="s">
        <v>126</v>
      </c>
      <c r="R181" t="str">
        <f t="shared" si="2"/>
        <v>Y</v>
      </c>
    </row>
    <row r="182" spans="1:18" x14ac:dyDescent="0.3">
      <c r="A182" s="1" t="s">
        <v>262</v>
      </c>
      <c r="B182" s="1">
        <v>49</v>
      </c>
      <c r="C182" s="1" t="s">
        <v>18</v>
      </c>
      <c r="D182" s="1" t="s">
        <v>33</v>
      </c>
      <c r="E182" s="1">
        <v>2018</v>
      </c>
      <c r="F182" s="1" t="s">
        <v>69</v>
      </c>
      <c r="G182" s="1" t="s">
        <v>88</v>
      </c>
      <c r="H182" s="1">
        <v>12571</v>
      </c>
      <c r="I182" s="1">
        <v>33</v>
      </c>
      <c r="J182" s="1">
        <v>0</v>
      </c>
      <c r="K182" s="1">
        <v>0</v>
      </c>
      <c r="L182" s="1" t="s">
        <v>35</v>
      </c>
      <c r="M182" s="1">
        <v>595</v>
      </c>
      <c r="N182" s="1" t="s">
        <v>22</v>
      </c>
      <c r="O182" s="1" t="s">
        <v>23</v>
      </c>
      <c r="P182" s="1">
        <v>15000</v>
      </c>
      <c r="Q182" s="1" t="s">
        <v>44</v>
      </c>
      <c r="R182" t="str">
        <f t="shared" si="2"/>
        <v>Y</v>
      </c>
    </row>
    <row r="183" spans="1:18" x14ac:dyDescent="0.3">
      <c r="A183" s="2" t="s">
        <v>263</v>
      </c>
      <c r="B183" s="2">
        <v>50</v>
      </c>
      <c r="C183" s="2" t="s">
        <v>18</v>
      </c>
      <c r="D183" s="2" t="s">
        <v>33</v>
      </c>
      <c r="E183" s="2">
        <v>2008</v>
      </c>
      <c r="F183" s="2" t="s">
        <v>79</v>
      </c>
      <c r="G183" s="2" t="s">
        <v>129</v>
      </c>
      <c r="H183" s="2">
        <v>20761</v>
      </c>
      <c r="I183" s="2">
        <v>34</v>
      </c>
      <c r="J183" s="2">
        <v>2</v>
      </c>
      <c r="K183" s="2">
        <v>1</v>
      </c>
      <c r="L183" s="2" t="s">
        <v>35</v>
      </c>
      <c r="M183" s="2">
        <v>523</v>
      </c>
      <c r="N183" s="2" t="s">
        <v>75</v>
      </c>
      <c r="O183" s="2" t="s">
        <v>67</v>
      </c>
      <c r="P183" s="2">
        <v>500</v>
      </c>
      <c r="Q183" s="2" t="s">
        <v>51</v>
      </c>
      <c r="R183" t="str">
        <f t="shared" si="2"/>
        <v>Y</v>
      </c>
    </row>
    <row r="184" spans="1:18" x14ac:dyDescent="0.3">
      <c r="A184" s="1" t="s">
        <v>264</v>
      </c>
      <c r="B184" s="1">
        <v>57</v>
      </c>
      <c r="C184" s="1" t="s">
        <v>18</v>
      </c>
      <c r="D184" s="1" t="s">
        <v>19</v>
      </c>
      <c r="E184" s="1">
        <v>2006</v>
      </c>
      <c r="F184" s="1" t="s">
        <v>69</v>
      </c>
      <c r="G184" s="1" t="s">
        <v>70</v>
      </c>
      <c r="H184" s="1">
        <v>14495</v>
      </c>
      <c r="I184" s="1">
        <v>37</v>
      </c>
      <c r="J184" s="1">
        <v>0</v>
      </c>
      <c r="K184" s="1">
        <v>2</v>
      </c>
      <c r="L184" s="1" t="s">
        <v>35</v>
      </c>
      <c r="M184" s="1">
        <v>472</v>
      </c>
      <c r="N184" s="1" t="s">
        <v>75</v>
      </c>
      <c r="O184" s="1" t="s">
        <v>40</v>
      </c>
      <c r="P184" s="1">
        <v>1200</v>
      </c>
      <c r="Q184" s="1" t="s">
        <v>80</v>
      </c>
      <c r="R184" t="str">
        <f t="shared" si="2"/>
        <v>Y</v>
      </c>
    </row>
    <row r="185" spans="1:18" x14ac:dyDescent="0.3">
      <c r="A185" s="2" t="s">
        <v>265</v>
      </c>
      <c r="B185" s="2">
        <v>35</v>
      </c>
      <c r="C185" s="2" t="s">
        <v>60</v>
      </c>
      <c r="D185" s="2" t="s">
        <v>33</v>
      </c>
      <c r="E185" s="2">
        <v>2004</v>
      </c>
      <c r="F185" s="2" t="s">
        <v>46</v>
      </c>
      <c r="G185" s="2" t="s">
        <v>110</v>
      </c>
      <c r="H185" s="2">
        <v>12087</v>
      </c>
      <c r="I185" s="2">
        <v>18</v>
      </c>
      <c r="J185" s="2">
        <v>2</v>
      </c>
      <c r="K185" s="2">
        <v>0</v>
      </c>
      <c r="L185" s="2" t="s">
        <v>35</v>
      </c>
      <c r="M185" s="2">
        <v>449</v>
      </c>
      <c r="N185" s="2" t="s">
        <v>39</v>
      </c>
      <c r="O185" s="2" t="s">
        <v>30</v>
      </c>
      <c r="P185" s="2">
        <v>500</v>
      </c>
      <c r="Q185" s="2" t="s">
        <v>95</v>
      </c>
      <c r="R185" t="str">
        <f t="shared" si="2"/>
        <v>Y</v>
      </c>
    </row>
    <row r="186" spans="1:18" x14ac:dyDescent="0.3">
      <c r="A186" s="1" t="s">
        <v>266</v>
      </c>
      <c r="B186" s="1">
        <v>49</v>
      </c>
      <c r="C186" s="1" t="s">
        <v>18</v>
      </c>
      <c r="D186" s="1" t="s">
        <v>85</v>
      </c>
      <c r="E186" s="1">
        <v>2020</v>
      </c>
      <c r="F186" s="1" t="s">
        <v>46</v>
      </c>
      <c r="G186" s="1" t="s">
        <v>47</v>
      </c>
      <c r="H186" s="1">
        <v>17810</v>
      </c>
      <c r="I186" s="1">
        <v>33</v>
      </c>
      <c r="J186" s="1">
        <v>2</v>
      </c>
      <c r="K186" s="1">
        <v>0</v>
      </c>
      <c r="L186" s="1" t="s">
        <v>29</v>
      </c>
      <c r="M186" s="1">
        <v>827</v>
      </c>
      <c r="N186" s="1" t="s">
        <v>39</v>
      </c>
      <c r="O186" s="1" t="s">
        <v>40</v>
      </c>
      <c r="P186" s="1">
        <v>3000</v>
      </c>
      <c r="Q186" s="1" t="s">
        <v>126</v>
      </c>
      <c r="R186" t="str">
        <f t="shared" si="2"/>
        <v>Y</v>
      </c>
    </row>
    <row r="187" spans="1:18" x14ac:dyDescent="0.3">
      <c r="A187" s="2" t="s">
        <v>267</v>
      </c>
      <c r="B187" s="2">
        <v>49</v>
      </c>
      <c r="C187" s="2" t="s">
        <v>18</v>
      </c>
      <c r="D187" s="2" t="s">
        <v>33</v>
      </c>
      <c r="E187" s="2">
        <v>2024</v>
      </c>
      <c r="F187" s="2" t="s">
        <v>69</v>
      </c>
      <c r="G187" s="2" t="s">
        <v>34</v>
      </c>
      <c r="H187" s="2">
        <v>23802</v>
      </c>
      <c r="I187" s="2">
        <v>31</v>
      </c>
      <c r="J187" s="2">
        <v>0</v>
      </c>
      <c r="K187" s="2">
        <v>2</v>
      </c>
      <c r="L187" s="2" t="s">
        <v>29</v>
      </c>
      <c r="M187" s="2">
        <v>523</v>
      </c>
      <c r="N187" s="2" t="s">
        <v>75</v>
      </c>
      <c r="O187" s="2" t="s">
        <v>36</v>
      </c>
      <c r="P187" s="2">
        <v>15000</v>
      </c>
      <c r="Q187" s="2" t="s">
        <v>63</v>
      </c>
      <c r="R187" t="str">
        <f t="shared" si="2"/>
        <v>Y</v>
      </c>
    </row>
    <row r="188" spans="1:18" x14ac:dyDescent="0.3">
      <c r="A188" s="1" t="s">
        <v>268</v>
      </c>
      <c r="B188" s="1">
        <v>38</v>
      </c>
      <c r="C188" s="1" t="s">
        <v>18</v>
      </c>
      <c r="D188" s="1" t="s">
        <v>85</v>
      </c>
      <c r="E188" s="1">
        <v>2017</v>
      </c>
      <c r="F188" s="1" t="s">
        <v>20</v>
      </c>
      <c r="G188" s="1" t="s">
        <v>21</v>
      </c>
      <c r="H188" s="1">
        <v>21551</v>
      </c>
      <c r="I188" s="1">
        <v>19</v>
      </c>
      <c r="J188" s="1">
        <v>0</v>
      </c>
      <c r="K188" s="1">
        <v>3</v>
      </c>
      <c r="L188" s="1" t="s">
        <v>35</v>
      </c>
      <c r="M188" s="1">
        <v>347</v>
      </c>
      <c r="N188" s="1" t="s">
        <v>22</v>
      </c>
      <c r="O188" s="1" t="s">
        <v>23</v>
      </c>
      <c r="P188" s="1">
        <v>0</v>
      </c>
      <c r="Q188" s="1" t="s">
        <v>86</v>
      </c>
      <c r="R188" t="str">
        <f t="shared" si="2"/>
        <v>N</v>
      </c>
    </row>
    <row r="189" spans="1:18" x14ac:dyDescent="0.3">
      <c r="A189" s="2" t="s">
        <v>269</v>
      </c>
      <c r="B189" s="2">
        <v>72</v>
      </c>
      <c r="C189" s="2" t="s">
        <v>18</v>
      </c>
      <c r="D189" s="2" t="s">
        <v>26</v>
      </c>
      <c r="E189" s="2">
        <v>2014</v>
      </c>
      <c r="F189" s="2" t="s">
        <v>69</v>
      </c>
      <c r="G189" s="2" t="s">
        <v>34</v>
      </c>
      <c r="H189" s="2">
        <v>9629</v>
      </c>
      <c r="I189" s="2">
        <v>55</v>
      </c>
      <c r="J189" s="2">
        <v>2</v>
      </c>
      <c r="K189" s="2">
        <v>1</v>
      </c>
      <c r="L189" s="2" t="s">
        <v>35</v>
      </c>
      <c r="M189" s="2">
        <v>580</v>
      </c>
      <c r="N189" s="2" t="s">
        <v>22</v>
      </c>
      <c r="O189" s="2" t="s">
        <v>30</v>
      </c>
      <c r="P189" s="2">
        <v>1200</v>
      </c>
      <c r="Q189" s="2" t="s">
        <v>37</v>
      </c>
      <c r="R189" t="str">
        <f t="shared" si="2"/>
        <v>Y</v>
      </c>
    </row>
    <row r="190" spans="1:18" x14ac:dyDescent="0.3">
      <c r="A190" s="1" t="s">
        <v>270</v>
      </c>
      <c r="B190" s="1">
        <v>41</v>
      </c>
      <c r="C190" s="1" t="s">
        <v>60</v>
      </c>
      <c r="D190" s="1" t="s">
        <v>19</v>
      </c>
      <c r="E190" s="1">
        <v>2001</v>
      </c>
      <c r="F190" s="1" t="s">
        <v>46</v>
      </c>
      <c r="G190" s="1" t="s">
        <v>400</v>
      </c>
      <c r="H190" s="1">
        <v>13010</v>
      </c>
      <c r="I190" s="1">
        <v>24</v>
      </c>
      <c r="J190" s="1">
        <v>1</v>
      </c>
      <c r="K190" s="1">
        <v>3</v>
      </c>
      <c r="L190" s="1" t="s">
        <v>35</v>
      </c>
      <c r="M190" s="1">
        <v>397</v>
      </c>
      <c r="N190" s="1" t="s">
        <v>22</v>
      </c>
      <c r="O190" s="1" t="s">
        <v>36</v>
      </c>
      <c r="P190" s="1">
        <v>15000</v>
      </c>
      <c r="Q190" s="1" t="s">
        <v>37</v>
      </c>
      <c r="R190" t="str">
        <f t="shared" si="2"/>
        <v>Y</v>
      </c>
    </row>
    <row r="191" spans="1:18" x14ac:dyDescent="0.3">
      <c r="A191" s="2" t="s">
        <v>272</v>
      </c>
      <c r="B191" s="2">
        <v>64</v>
      </c>
      <c r="C191" s="2" t="s">
        <v>18</v>
      </c>
      <c r="D191" s="2" t="s">
        <v>33</v>
      </c>
      <c r="E191" s="2">
        <v>2010</v>
      </c>
      <c r="F191" s="2" t="s">
        <v>27</v>
      </c>
      <c r="G191" s="2" t="s">
        <v>38</v>
      </c>
      <c r="H191" s="2">
        <v>7493</v>
      </c>
      <c r="I191" s="2">
        <v>45</v>
      </c>
      <c r="J191" s="2">
        <v>0</v>
      </c>
      <c r="K191" s="2">
        <v>3</v>
      </c>
      <c r="L191" s="2" t="s">
        <v>35</v>
      </c>
      <c r="M191" s="2">
        <v>370</v>
      </c>
      <c r="N191" s="2" t="s">
        <v>39</v>
      </c>
      <c r="O191" s="2" t="s">
        <v>432</v>
      </c>
      <c r="P191" s="2">
        <v>0</v>
      </c>
      <c r="Q191" s="2" t="s">
        <v>41</v>
      </c>
      <c r="R191" t="str">
        <f t="shared" si="2"/>
        <v>N</v>
      </c>
    </row>
    <row r="192" spans="1:18" x14ac:dyDescent="0.3">
      <c r="A192" s="1" t="s">
        <v>273</v>
      </c>
      <c r="B192" s="1">
        <v>59</v>
      </c>
      <c r="C192" s="1" t="s">
        <v>18</v>
      </c>
      <c r="D192" s="1" t="s">
        <v>26</v>
      </c>
      <c r="E192" s="1">
        <v>2011</v>
      </c>
      <c r="F192" s="1" t="s">
        <v>65</v>
      </c>
      <c r="G192" s="1" t="s">
        <v>61</v>
      </c>
      <c r="H192" s="1">
        <v>16490</v>
      </c>
      <c r="I192" s="1">
        <v>39</v>
      </c>
      <c r="J192" s="1">
        <v>2</v>
      </c>
      <c r="K192" s="1">
        <v>1</v>
      </c>
      <c r="L192" s="1" t="s">
        <v>35</v>
      </c>
      <c r="M192" s="1">
        <v>388</v>
      </c>
      <c r="N192" s="1" t="s">
        <v>22</v>
      </c>
      <c r="O192" s="1" t="s">
        <v>43</v>
      </c>
      <c r="P192" s="1">
        <v>0</v>
      </c>
      <c r="Q192" s="1" t="s">
        <v>80</v>
      </c>
      <c r="R192" t="str">
        <f t="shared" si="2"/>
        <v>N</v>
      </c>
    </row>
    <row r="193" spans="1:18" x14ac:dyDescent="0.3">
      <c r="A193" s="2" t="s">
        <v>274</v>
      </c>
      <c r="B193" s="2">
        <v>64</v>
      </c>
      <c r="C193" s="2" t="s">
        <v>60</v>
      </c>
      <c r="D193" s="2" t="s">
        <v>85</v>
      </c>
      <c r="E193" s="2">
        <v>2013</v>
      </c>
      <c r="F193" s="2" t="s">
        <v>27</v>
      </c>
      <c r="G193" s="2" t="s">
        <v>28</v>
      </c>
      <c r="H193" s="2">
        <v>11119</v>
      </c>
      <c r="I193" s="2">
        <v>46</v>
      </c>
      <c r="J193" s="2">
        <v>2</v>
      </c>
      <c r="K193" s="2">
        <v>0</v>
      </c>
      <c r="L193" s="2" t="s">
        <v>35</v>
      </c>
      <c r="M193" s="2">
        <v>591</v>
      </c>
      <c r="N193" s="2" t="s">
        <v>39</v>
      </c>
      <c r="O193" s="2" t="s">
        <v>90</v>
      </c>
      <c r="P193" s="2">
        <v>1200</v>
      </c>
      <c r="Q193" s="2" t="s">
        <v>99</v>
      </c>
      <c r="R193" t="str">
        <f t="shared" si="2"/>
        <v>Y</v>
      </c>
    </row>
    <row r="194" spans="1:18" x14ac:dyDescent="0.3">
      <c r="A194" s="1" t="s">
        <v>275</v>
      </c>
      <c r="B194" s="1">
        <v>51</v>
      </c>
      <c r="C194" s="1" t="s">
        <v>60</v>
      </c>
      <c r="D194" s="1" t="s">
        <v>19</v>
      </c>
      <c r="E194" s="1">
        <v>2023</v>
      </c>
      <c r="F194" s="1" t="s">
        <v>46</v>
      </c>
      <c r="G194" s="1" t="s">
        <v>47</v>
      </c>
      <c r="H194" s="1">
        <v>24173</v>
      </c>
      <c r="I194" s="1">
        <v>35</v>
      </c>
      <c r="J194" s="1">
        <v>0</v>
      </c>
      <c r="K194" s="1">
        <v>1</v>
      </c>
      <c r="L194" s="1" t="s">
        <v>29</v>
      </c>
      <c r="M194" s="1">
        <v>415</v>
      </c>
      <c r="N194" s="1" t="s">
        <v>22</v>
      </c>
      <c r="O194" s="1" t="s">
        <v>23</v>
      </c>
      <c r="P194" s="1">
        <v>0</v>
      </c>
      <c r="Q194" s="1" t="s">
        <v>103</v>
      </c>
      <c r="R194" t="str">
        <f t="shared" si="2"/>
        <v>N</v>
      </c>
    </row>
    <row r="195" spans="1:18" x14ac:dyDescent="0.3">
      <c r="A195" s="2" t="s">
        <v>276</v>
      </c>
      <c r="B195" s="2">
        <v>34</v>
      </c>
      <c r="C195" s="2" t="s">
        <v>18</v>
      </c>
      <c r="D195" s="2" t="s">
        <v>33</v>
      </c>
      <c r="E195" s="2">
        <v>2001</v>
      </c>
      <c r="F195" s="2" t="s">
        <v>46</v>
      </c>
      <c r="G195" s="2" t="s">
        <v>400</v>
      </c>
      <c r="H195" s="2">
        <v>12387</v>
      </c>
      <c r="I195" s="2">
        <v>14</v>
      </c>
      <c r="J195" s="2">
        <v>1</v>
      </c>
      <c r="K195" s="2">
        <v>1</v>
      </c>
      <c r="L195" s="2" t="s">
        <v>29</v>
      </c>
      <c r="M195" s="2">
        <v>384</v>
      </c>
      <c r="N195" s="2" t="s">
        <v>39</v>
      </c>
      <c r="O195" s="2" t="s">
        <v>62</v>
      </c>
      <c r="P195" s="2">
        <v>0</v>
      </c>
      <c r="Q195" s="2" t="s">
        <v>63</v>
      </c>
      <c r="R195" t="str">
        <f t="shared" ref="R195:R258" si="3">IF(P195&gt;0, "Y", "N")</f>
        <v>N</v>
      </c>
    </row>
    <row r="196" spans="1:18" x14ac:dyDescent="0.3">
      <c r="A196" s="1" t="s">
        <v>277</v>
      </c>
      <c r="B196" s="1">
        <v>23</v>
      </c>
      <c r="C196" s="1" t="s">
        <v>18</v>
      </c>
      <c r="D196" s="1" t="s">
        <v>33</v>
      </c>
      <c r="E196" s="1">
        <v>2016</v>
      </c>
      <c r="F196" s="1" t="s">
        <v>65</v>
      </c>
      <c r="G196" s="1" t="s">
        <v>61</v>
      </c>
      <c r="H196" s="1">
        <v>20576</v>
      </c>
      <c r="I196" s="1">
        <v>5</v>
      </c>
      <c r="J196" s="1">
        <v>1</v>
      </c>
      <c r="K196" s="1">
        <v>2</v>
      </c>
      <c r="L196" s="1" t="s">
        <v>35</v>
      </c>
      <c r="M196" s="1">
        <v>617</v>
      </c>
      <c r="N196" s="1" t="s">
        <v>39</v>
      </c>
      <c r="O196" s="1" t="s">
        <v>431</v>
      </c>
      <c r="P196" s="1">
        <v>500</v>
      </c>
      <c r="Q196" s="1" t="s">
        <v>31</v>
      </c>
      <c r="R196" t="str">
        <f t="shared" si="3"/>
        <v>Y</v>
      </c>
    </row>
    <row r="197" spans="1:18" x14ac:dyDescent="0.3">
      <c r="A197" s="2" t="s">
        <v>278</v>
      </c>
      <c r="B197" s="2">
        <v>33</v>
      </c>
      <c r="C197" s="2" t="s">
        <v>18</v>
      </c>
      <c r="D197" s="2" t="s">
        <v>26</v>
      </c>
      <c r="E197" s="2">
        <v>2003</v>
      </c>
      <c r="F197" s="2" t="s">
        <v>73</v>
      </c>
      <c r="G197" s="2" t="s">
        <v>83</v>
      </c>
      <c r="H197" s="2">
        <v>22950</v>
      </c>
      <c r="I197" s="2">
        <v>17</v>
      </c>
      <c r="J197" s="2">
        <v>0</v>
      </c>
      <c r="K197" s="2">
        <v>3</v>
      </c>
      <c r="L197" s="2" t="s">
        <v>35</v>
      </c>
      <c r="M197" s="2">
        <v>422</v>
      </c>
      <c r="N197" s="2" t="s">
        <v>22</v>
      </c>
      <c r="O197" s="2" t="s">
        <v>43</v>
      </c>
      <c r="P197" s="2">
        <v>0</v>
      </c>
      <c r="Q197" s="2" t="s">
        <v>98</v>
      </c>
      <c r="R197" t="str">
        <f t="shared" si="3"/>
        <v>N</v>
      </c>
    </row>
    <row r="198" spans="1:18" x14ac:dyDescent="0.3">
      <c r="A198" s="1" t="s">
        <v>279</v>
      </c>
      <c r="B198" s="1">
        <v>58</v>
      </c>
      <c r="C198" s="1" t="s">
        <v>18</v>
      </c>
      <c r="D198" s="1" t="s">
        <v>26</v>
      </c>
      <c r="E198" s="1">
        <v>2014</v>
      </c>
      <c r="F198" s="1" t="s">
        <v>79</v>
      </c>
      <c r="G198" s="1" t="s">
        <v>129</v>
      </c>
      <c r="H198" s="1">
        <v>4816</v>
      </c>
      <c r="I198" s="1">
        <v>39</v>
      </c>
      <c r="J198" s="1">
        <v>1</v>
      </c>
      <c r="K198" s="1">
        <v>0</v>
      </c>
      <c r="L198" s="1" t="s">
        <v>29</v>
      </c>
      <c r="M198" s="1">
        <v>461</v>
      </c>
      <c r="N198" s="1" t="s">
        <v>75</v>
      </c>
      <c r="O198" s="1" t="s">
        <v>67</v>
      </c>
      <c r="P198" s="1">
        <v>0</v>
      </c>
      <c r="Q198" s="1" t="s">
        <v>142</v>
      </c>
      <c r="R198" t="str">
        <f t="shared" si="3"/>
        <v>N</v>
      </c>
    </row>
    <row r="199" spans="1:18" x14ac:dyDescent="0.3">
      <c r="A199" s="2" t="s">
        <v>280</v>
      </c>
      <c r="B199" s="2">
        <v>65</v>
      </c>
      <c r="C199" s="2" t="s">
        <v>60</v>
      </c>
      <c r="D199" s="2" t="s">
        <v>33</v>
      </c>
      <c r="E199" s="2">
        <v>2001</v>
      </c>
      <c r="F199" s="2" t="s">
        <v>69</v>
      </c>
      <c r="G199" s="2" t="s">
        <v>88</v>
      </c>
      <c r="H199" s="2">
        <v>4506</v>
      </c>
      <c r="I199" s="2">
        <v>46</v>
      </c>
      <c r="J199" s="2">
        <v>0</v>
      </c>
      <c r="K199" s="2">
        <v>1</v>
      </c>
      <c r="L199" s="2" t="s">
        <v>35</v>
      </c>
      <c r="M199" s="2">
        <v>483</v>
      </c>
      <c r="N199" s="2" t="s">
        <v>22</v>
      </c>
      <c r="O199" s="2" t="s">
        <v>62</v>
      </c>
      <c r="P199" s="2">
        <v>7500</v>
      </c>
      <c r="Q199" s="2" t="s">
        <v>142</v>
      </c>
      <c r="R199" t="str">
        <f t="shared" si="3"/>
        <v>Y</v>
      </c>
    </row>
    <row r="200" spans="1:18" x14ac:dyDescent="0.3">
      <c r="A200" s="1" t="s">
        <v>281</v>
      </c>
      <c r="B200" s="1">
        <v>38</v>
      </c>
      <c r="C200" s="1" t="s">
        <v>18</v>
      </c>
      <c r="D200" s="1" t="s">
        <v>26</v>
      </c>
      <c r="E200" s="1">
        <v>2023</v>
      </c>
      <c r="F200" s="1" t="s">
        <v>27</v>
      </c>
      <c r="G200" s="1" t="s">
        <v>38</v>
      </c>
      <c r="H200" s="1">
        <v>5552</v>
      </c>
      <c r="I200" s="1">
        <v>18</v>
      </c>
      <c r="J200" s="1">
        <v>0</v>
      </c>
      <c r="K200" s="1">
        <v>0</v>
      </c>
      <c r="L200" s="1" t="s">
        <v>35</v>
      </c>
      <c r="M200" s="1">
        <v>353</v>
      </c>
      <c r="N200" s="1" t="s">
        <v>22</v>
      </c>
      <c r="O200" s="1" t="s">
        <v>36</v>
      </c>
      <c r="P200" s="1">
        <v>0</v>
      </c>
      <c r="Q200" s="1" t="s">
        <v>95</v>
      </c>
      <c r="R200" t="str">
        <f t="shared" si="3"/>
        <v>N</v>
      </c>
    </row>
    <row r="201" spans="1:18" x14ac:dyDescent="0.3">
      <c r="A201" s="2" t="s">
        <v>282</v>
      </c>
      <c r="B201" s="2">
        <v>22</v>
      </c>
      <c r="C201" s="2" t="s">
        <v>60</v>
      </c>
      <c r="D201" s="2" t="s">
        <v>85</v>
      </c>
      <c r="E201" s="2">
        <v>2024</v>
      </c>
      <c r="F201" s="2" t="s">
        <v>27</v>
      </c>
      <c r="G201" s="2" t="s">
        <v>38</v>
      </c>
      <c r="H201" s="2">
        <v>5830</v>
      </c>
      <c r="I201" s="2">
        <v>2</v>
      </c>
      <c r="J201" s="2">
        <v>1</v>
      </c>
      <c r="K201" s="2">
        <v>0</v>
      </c>
      <c r="L201" s="2" t="s">
        <v>29</v>
      </c>
      <c r="M201" s="2">
        <v>505</v>
      </c>
      <c r="N201" s="2" t="s">
        <v>75</v>
      </c>
      <c r="O201" s="2" t="s">
        <v>432</v>
      </c>
      <c r="P201" s="2">
        <v>1200</v>
      </c>
      <c r="Q201" s="2" t="s">
        <v>41</v>
      </c>
      <c r="R201" t="str">
        <f t="shared" si="3"/>
        <v>Y</v>
      </c>
    </row>
    <row r="202" spans="1:18" x14ac:dyDescent="0.3">
      <c r="A202" s="1" t="s">
        <v>283</v>
      </c>
      <c r="B202" s="1">
        <v>33</v>
      </c>
      <c r="C202" s="1" t="s">
        <v>60</v>
      </c>
      <c r="D202" s="1" t="s">
        <v>85</v>
      </c>
      <c r="E202" s="1">
        <v>2018</v>
      </c>
      <c r="F202" s="1" t="s">
        <v>73</v>
      </c>
      <c r="G202" s="1" t="s">
        <v>117</v>
      </c>
      <c r="H202" s="1">
        <v>20909</v>
      </c>
      <c r="I202" s="1">
        <v>16</v>
      </c>
      <c r="J202" s="1">
        <v>0</v>
      </c>
      <c r="K202" s="1">
        <v>0</v>
      </c>
      <c r="L202" s="1" t="s">
        <v>29</v>
      </c>
      <c r="M202" s="1">
        <v>324</v>
      </c>
      <c r="N202" s="1" t="s">
        <v>22</v>
      </c>
      <c r="O202" s="1" t="s">
        <v>62</v>
      </c>
      <c r="P202" s="1">
        <v>3000</v>
      </c>
      <c r="Q202" s="1" t="s">
        <v>24</v>
      </c>
      <c r="R202" t="str">
        <f t="shared" si="3"/>
        <v>Y</v>
      </c>
    </row>
    <row r="203" spans="1:18" x14ac:dyDescent="0.3">
      <c r="A203" s="2" t="s">
        <v>271</v>
      </c>
      <c r="B203" s="2">
        <v>39</v>
      </c>
      <c r="C203" s="2" t="s">
        <v>18</v>
      </c>
      <c r="D203" s="2" t="s">
        <v>26</v>
      </c>
      <c r="E203" s="2">
        <v>2023</v>
      </c>
      <c r="F203" s="2" t="s">
        <v>27</v>
      </c>
      <c r="G203" s="2" t="s">
        <v>28</v>
      </c>
      <c r="H203" s="2">
        <v>9723</v>
      </c>
      <c r="I203" s="2">
        <v>19</v>
      </c>
      <c r="J203" s="2">
        <v>0</v>
      </c>
      <c r="K203" s="2">
        <v>1</v>
      </c>
      <c r="L203" s="2" t="s">
        <v>29</v>
      </c>
      <c r="M203" s="2">
        <v>361</v>
      </c>
      <c r="N203" s="2" t="s">
        <v>22</v>
      </c>
      <c r="O203" s="2" t="s">
        <v>40</v>
      </c>
      <c r="P203" s="2">
        <v>0</v>
      </c>
      <c r="Q203" s="2" t="s">
        <v>31</v>
      </c>
      <c r="R203" t="str">
        <f t="shared" si="3"/>
        <v>N</v>
      </c>
    </row>
    <row r="204" spans="1:18" x14ac:dyDescent="0.3">
      <c r="A204" s="1" t="s">
        <v>271</v>
      </c>
      <c r="B204" s="1">
        <v>39</v>
      </c>
      <c r="C204" s="1" t="s">
        <v>18</v>
      </c>
      <c r="D204" s="1" t="s">
        <v>26</v>
      </c>
      <c r="E204" s="1">
        <v>2023</v>
      </c>
      <c r="F204" s="1" t="s">
        <v>27</v>
      </c>
      <c r="G204" s="1" t="s">
        <v>28</v>
      </c>
      <c r="H204" s="1">
        <v>9723</v>
      </c>
      <c r="I204" s="1">
        <v>19</v>
      </c>
      <c r="J204" s="1">
        <v>0</v>
      </c>
      <c r="K204" s="1">
        <v>1</v>
      </c>
      <c r="L204" s="1" t="s">
        <v>29</v>
      </c>
      <c r="M204" s="1">
        <v>361</v>
      </c>
      <c r="N204" s="1" t="s">
        <v>22</v>
      </c>
      <c r="O204" s="1" t="s">
        <v>40</v>
      </c>
      <c r="P204" s="1">
        <v>0</v>
      </c>
      <c r="Q204" s="1" t="s">
        <v>31</v>
      </c>
      <c r="R204" t="str">
        <f t="shared" si="3"/>
        <v>N</v>
      </c>
    </row>
    <row r="205" spans="1:18" x14ac:dyDescent="0.3">
      <c r="A205" s="2" t="s">
        <v>284</v>
      </c>
      <c r="B205" s="2">
        <v>32</v>
      </c>
      <c r="C205" s="2" t="s">
        <v>60</v>
      </c>
      <c r="D205" s="2" t="s">
        <v>26</v>
      </c>
      <c r="E205" s="2">
        <v>2022</v>
      </c>
      <c r="F205" s="2" t="s">
        <v>27</v>
      </c>
      <c r="G205" s="2" t="s">
        <v>38</v>
      </c>
      <c r="H205" s="2">
        <v>5782</v>
      </c>
      <c r="I205" s="2">
        <v>12</v>
      </c>
      <c r="J205" s="2">
        <v>0</v>
      </c>
      <c r="K205" s="2">
        <v>2</v>
      </c>
      <c r="L205" s="2" t="s">
        <v>35</v>
      </c>
      <c r="M205" s="2">
        <v>703</v>
      </c>
      <c r="N205" s="2" t="s">
        <v>22</v>
      </c>
      <c r="O205" s="2" t="s">
        <v>432</v>
      </c>
      <c r="P205" s="2">
        <v>0</v>
      </c>
      <c r="Q205" s="2" t="s">
        <v>48</v>
      </c>
      <c r="R205" t="str">
        <f t="shared" si="3"/>
        <v>N</v>
      </c>
    </row>
    <row r="206" spans="1:18" x14ac:dyDescent="0.3">
      <c r="A206" s="1" t="s">
        <v>285</v>
      </c>
      <c r="B206" s="1">
        <v>60</v>
      </c>
      <c r="C206" s="1" t="s">
        <v>18</v>
      </c>
      <c r="D206" s="1" t="s">
        <v>19</v>
      </c>
      <c r="E206" s="1">
        <v>2009</v>
      </c>
      <c r="F206" s="1" t="s">
        <v>27</v>
      </c>
      <c r="G206" s="1" t="s">
        <v>38</v>
      </c>
      <c r="H206" s="1">
        <v>15876</v>
      </c>
      <c r="I206" s="1">
        <v>42</v>
      </c>
      <c r="J206" s="1">
        <v>0</v>
      </c>
      <c r="K206" s="1">
        <v>1</v>
      </c>
      <c r="L206" s="1" t="s">
        <v>29</v>
      </c>
      <c r="M206" s="1">
        <v>539</v>
      </c>
      <c r="N206" s="1" t="s">
        <v>22</v>
      </c>
      <c r="O206" s="1" t="s">
        <v>36</v>
      </c>
      <c r="P206" s="1">
        <v>0</v>
      </c>
      <c r="Q206" s="1" t="s">
        <v>80</v>
      </c>
      <c r="R206" t="str">
        <f t="shared" si="3"/>
        <v>N</v>
      </c>
    </row>
    <row r="207" spans="1:18" x14ac:dyDescent="0.3">
      <c r="A207" s="2" t="s">
        <v>286</v>
      </c>
      <c r="B207" s="2">
        <v>24</v>
      </c>
      <c r="C207" s="2" t="s">
        <v>18</v>
      </c>
      <c r="D207" s="2" t="s">
        <v>33</v>
      </c>
      <c r="E207" s="2">
        <v>2005</v>
      </c>
      <c r="F207" s="2" t="s">
        <v>73</v>
      </c>
      <c r="G207" s="2" t="s">
        <v>74</v>
      </c>
      <c r="H207" s="2">
        <v>13290</v>
      </c>
      <c r="I207" s="2">
        <v>5</v>
      </c>
      <c r="J207" s="2">
        <v>0</v>
      </c>
      <c r="K207" s="2">
        <v>2</v>
      </c>
      <c r="L207" s="2" t="s">
        <v>29</v>
      </c>
      <c r="M207" s="2">
        <v>512</v>
      </c>
      <c r="N207" s="2" t="s">
        <v>75</v>
      </c>
      <c r="O207" s="2" t="s">
        <v>40</v>
      </c>
      <c r="P207" s="2">
        <v>15000</v>
      </c>
      <c r="Q207" s="2" t="s">
        <v>63</v>
      </c>
      <c r="R207" t="str">
        <f t="shared" si="3"/>
        <v>Y</v>
      </c>
    </row>
    <row r="208" spans="1:18" x14ac:dyDescent="0.3">
      <c r="A208" s="1" t="s">
        <v>287</v>
      </c>
      <c r="B208" s="1">
        <v>72</v>
      </c>
      <c r="C208" s="1" t="s">
        <v>18</v>
      </c>
      <c r="D208" s="1" t="s">
        <v>33</v>
      </c>
      <c r="E208" s="1">
        <v>2005</v>
      </c>
      <c r="F208" s="1" t="s">
        <v>27</v>
      </c>
      <c r="G208" s="1" t="s">
        <v>53</v>
      </c>
      <c r="H208" s="1">
        <v>22769</v>
      </c>
      <c r="I208" s="1">
        <v>56</v>
      </c>
      <c r="J208" s="1">
        <v>0</v>
      </c>
      <c r="K208" s="1">
        <v>1</v>
      </c>
      <c r="L208" s="1" t="s">
        <v>35</v>
      </c>
      <c r="M208" s="1">
        <v>393</v>
      </c>
      <c r="N208" s="1" t="s">
        <v>39</v>
      </c>
      <c r="O208" s="1" t="s">
        <v>36</v>
      </c>
      <c r="P208" s="1">
        <v>3000</v>
      </c>
      <c r="Q208" s="1" t="s">
        <v>95</v>
      </c>
      <c r="R208" t="str">
        <f t="shared" si="3"/>
        <v>Y</v>
      </c>
    </row>
    <row r="209" spans="1:18" x14ac:dyDescent="0.3">
      <c r="A209" s="2" t="s">
        <v>288</v>
      </c>
      <c r="B209" s="2">
        <v>50</v>
      </c>
      <c r="C209" s="2" t="s">
        <v>18</v>
      </c>
      <c r="D209" s="2" t="s">
        <v>85</v>
      </c>
      <c r="E209" s="2">
        <v>2008</v>
      </c>
      <c r="F209" s="2" t="s">
        <v>65</v>
      </c>
      <c r="G209" s="2" t="s">
        <v>61</v>
      </c>
      <c r="H209" s="2">
        <v>16251</v>
      </c>
      <c r="I209" s="2">
        <v>31</v>
      </c>
      <c r="J209" s="2">
        <v>1</v>
      </c>
      <c r="K209" s="2">
        <v>3</v>
      </c>
      <c r="L209" s="2" t="s">
        <v>35</v>
      </c>
      <c r="M209" s="2">
        <v>555</v>
      </c>
      <c r="N209" s="2" t="s">
        <v>22</v>
      </c>
      <c r="O209" s="2" t="s">
        <v>23</v>
      </c>
      <c r="P209" s="2">
        <v>0</v>
      </c>
      <c r="Q209" s="2" t="s">
        <v>105</v>
      </c>
      <c r="R209" t="str">
        <f t="shared" si="3"/>
        <v>N</v>
      </c>
    </row>
    <row r="210" spans="1:18" x14ac:dyDescent="0.3">
      <c r="A210" s="1" t="s">
        <v>289</v>
      </c>
      <c r="B210" s="1">
        <v>25</v>
      </c>
      <c r="C210" s="1" t="s">
        <v>18</v>
      </c>
      <c r="D210" s="1" t="s">
        <v>33</v>
      </c>
      <c r="E210" s="1">
        <v>2024</v>
      </c>
      <c r="F210" s="1" t="s">
        <v>65</v>
      </c>
      <c r="G210" s="1" t="s">
        <v>61</v>
      </c>
      <c r="H210" s="1">
        <v>9492</v>
      </c>
      <c r="I210" s="1">
        <v>6</v>
      </c>
      <c r="J210" s="1">
        <v>0</v>
      </c>
      <c r="K210" s="1">
        <v>3</v>
      </c>
      <c r="L210" s="1" t="s">
        <v>35</v>
      </c>
      <c r="M210" s="1">
        <v>565</v>
      </c>
      <c r="N210" s="1" t="s">
        <v>22</v>
      </c>
      <c r="O210" s="1" t="s">
        <v>90</v>
      </c>
      <c r="P210" s="1">
        <v>0</v>
      </c>
      <c r="Q210" s="1" t="s">
        <v>99</v>
      </c>
      <c r="R210" t="str">
        <f t="shared" si="3"/>
        <v>N</v>
      </c>
    </row>
    <row r="211" spans="1:18" x14ac:dyDescent="0.3">
      <c r="A211" s="2" t="s">
        <v>290</v>
      </c>
      <c r="B211" s="2">
        <v>75</v>
      </c>
      <c r="C211" s="2" t="s">
        <v>60</v>
      </c>
      <c r="D211" s="2" t="s">
        <v>26</v>
      </c>
      <c r="E211" s="2">
        <v>2004</v>
      </c>
      <c r="F211" s="2" t="s">
        <v>69</v>
      </c>
      <c r="G211" s="2" t="s">
        <v>34</v>
      </c>
      <c r="H211" s="2">
        <v>7014</v>
      </c>
      <c r="I211" s="2">
        <v>59</v>
      </c>
      <c r="J211" s="2">
        <v>1</v>
      </c>
      <c r="K211" s="2">
        <v>0</v>
      </c>
      <c r="L211" s="2" t="s">
        <v>35</v>
      </c>
      <c r="M211" s="2">
        <v>743</v>
      </c>
      <c r="N211" s="2" t="s">
        <v>39</v>
      </c>
      <c r="O211" s="2" t="s">
        <v>431</v>
      </c>
      <c r="P211" s="2">
        <v>15000</v>
      </c>
      <c r="Q211" s="2" t="s">
        <v>24</v>
      </c>
      <c r="R211" t="str">
        <f t="shared" si="3"/>
        <v>Y</v>
      </c>
    </row>
    <row r="212" spans="1:18" x14ac:dyDescent="0.3">
      <c r="A212" s="1" t="s">
        <v>291</v>
      </c>
      <c r="B212" s="1">
        <v>42</v>
      </c>
      <c r="C212" s="1" t="s">
        <v>60</v>
      </c>
      <c r="D212" s="1" t="s">
        <v>26</v>
      </c>
      <c r="E212" s="1">
        <v>2005</v>
      </c>
      <c r="F212" s="1" t="s">
        <v>27</v>
      </c>
      <c r="G212" s="1" t="s">
        <v>28</v>
      </c>
      <c r="H212" s="1">
        <v>9132</v>
      </c>
      <c r="I212" s="1">
        <v>24</v>
      </c>
      <c r="J212" s="1">
        <v>0</v>
      </c>
      <c r="K212" s="1">
        <v>1</v>
      </c>
      <c r="L212" s="1" t="s">
        <v>35</v>
      </c>
      <c r="M212" s="1">
        <v>335</v>
      </c>
      <c r="N212" s="1" t="s">
        <v>39</v>
      </c>
      <c r="O212" s="1" t="s">
        <v>432</v>
      </c>
      <c r="P212" s="1">
        <v>500</v>
      </c>
      <c r="Q212" s="1" t="s">
        <v>51</v>
      </c>
      <c r="R212" t="str">
        <f t="shared" si="3"/>
        <v>Y</v>
      </c>
    </row>
    <row r="213" spans="1:18" x14ac:dyDescent="0.3">
      <c r="A213" s="2" t="s">
        <v>292</v>
      </c>
      <c r="B213" s="2">
        <v>49</v>
      </c>
      <c r="C213" s="2" t="s">
        <v>60</v>
      </c>
      <c r="D213" s="2" t="s">
        <v>26</v>
      </c>
      <c r="E213" s="2">
        <v>2001</v>
      </c>
      <c r="F213" s="2" t="s">
        <v>69</v>
      </c>
      <c r="G213" s="2" t="s">
        <v>34</v>
      </c>
      <c r="H213" s="2">
        <v>15550</v>
      </c>
      <c r="I213" s="2">
        <v>32</v>
      </c>
      <c r="J213" s="2">
        <v>1</v>
      </c>
      <c r="K213" s="2">
        <v>0</v>
      </c>
      <c r="L213" s="2" t="s">
        <v>35</v>
      </c>
      <c r="M213" s="2">
        <v>555</v>
      </c>
      <c r="N213" s="2" t="s">
        <v>39</v>
      </c>
      <c r="O213" s="2" t="s">
        <v>62</v>
      </c>
      <c r="P213" s="2">
        <v>0</v>
      </c>
      <c r="Q213" s="2" t="s">
        <v>95</v>
      </c>
      <c r="R213" t="str">
        <f t="shared" si="3"/>
        <v>N</v>
      </c>
    </row>
    <row r="214" spans="1:18" x14ac:dyDescent="0.3">
      <c r="A214" s="1" t="s">
        <v>293</v>
      </c>
      <c r="B214" s="1">
        <v>68</v>
      </c>
      <c r="C214" s="1" t="s">
        <v>60</v>
      </c>
      <c r="D214" s="1" t="s">
        <v>85</v>
      </c>
      <c r="E214" s="1">
        <v>2015</v>
      </c>
      <c r="F214" s="1" t="s">
        <v>79</v>
      </c>
      <c r="G214" s="1" t="s">
        <v>129</v>
      </c>
      <c r="H214" s="1">
        <v>14273</v>
      </c>
      <c r="I214" s="1">
        <v>48</v>
      </c>
      <c r="J214" s="1">
        <v>1</v>
      </c>
      <c r="K214" s="1">
        <v>1</v>
      </c>
      <c r="L214" s="1" t="s">
        <v>29</v>
      </c>
      <c r="M214" s="1">
        <v>576</v>
      </c>
      <c r="N214" s="1" t="s">
        <v>22</v>
      </c>
      <c r="O214" s="1" t="s">
        <v>90</v>
      </c>
      <c r="P214" s="1">
        <v>3000</v>
      </c>
      <c r="Q214" s="1" t="s">
        <v>41</v>
      </c>
      <c r="R214" t="str">
        <f t="shared" si="3"/>
        <v>Y</v>
      </c>
    </row>
    <row r="215" spans="1:18" x14ac:dyDescent="0.3">
      <c r="A215" s="2" t="s">
        <v>294</v>
      </c>
      <c r="B215" s="2">
        <v>32</v>
      </c>
      <c r="C215" s="2" t="s">
        <v>18</v>
      </c>
      <c r="D215" s="2" t="s">
        <v>85</v>
      </c>
      <c r="E215" s="2">
        <v>2001</v>
      </c>
      <c r="F215" s="2" t="s">
        <v>73</v>
      </c>
      <c r="G215" s="2" t="s">
        <v>83</v>
      </c>
      <c r="H215" s="2">
        <v>14712</v>
      </c>
      <c r="I215" s="2">
        <v>12</v>
      </c>
      <c r="J215" s="2">
        <v>0</v>
      </c>
      <c r="K215" s="2">
        <v>0</v>
      </c>
      <c r="L215" s="2" t="s">
        <v>35</v>
      </c>
      <c r="M215" s="2">
        <v>553</v>
      </c>
      <c r="N215" s="2" t="s">
        <v>39</v>
      </c>
      <c r="O215" s="2" t="s">
        <v>36</v>
      </c>
      <c r="P215" s="2">
        <v>1200</v>
      </c>
      <c r="Q215" s="2" t="s">
        <v>44</v>
      </c>
      <c r="R215" t="str">
        <f t="shared" si="3"/>
        <v>Y</v>
      </c>
    </row>
    <row r="216" spans="1:18" x14ac:dyDescent="0.3">
      <c r="A216" s="1" t="s">
        <v>295</v>
      </c>
      <c r="B216" s="1">
        <v>70</v>
      </c>
      <c r="C216" s="1" t="s">
        <v>60</v>
      </c>
      <c r="D216" s="1" t="s">
        <v>33</v>
      </c>
      <c r="E216" s="1">
        <v>2024</v>
      </c>
      <c r="F216" s="1" t="s">
        <v>65</v>
      </c>
      <c r="G216" s="1" t="s">
        <v>77</v>
      </c>
      <c r="H216" s="1">
        <v>14626</v>
      </c>
      <c r="I216" s="1">
        <v>53</v>
      </c>
      <c r="J216" s="1">
        <v>0</v>
      </c>
      <c r="K216" s="1">
        <v>0</v>
      </c>
      <c r="L216" s="1" t="s">
        <v>35</v>
      </c>
      <c r="M216" s="1">
        <v>625</v>
      </c>
      <c r="N216" s="1" t="s">
        <v>39</v>
      </c>
      <c r="O216" s="1" t="s">
        <v>30</v>
      </c>
      <c r="P216" s="1">
        <v>0</v>
      </c>
      <c r="Q216" s="1" t="s">
        <v>54</v>
      </c>
      <c r="R216" t="str">
        <f t="shared" si="3"/>
        <v>N</v>
      </c>
    </row>
    <row r="217" spans="1:18" x14ac:dyDescent="0.3">
      <c r="A217" s="2" t="s">
        <v>296</v>
      </c>
      <c r="B217" s="2">
        <v>54</v>
      </c>
      <c r="C217" s="2" t="s">
        <v>60</v>
      </c>
      <c r="D217" s="2" t="s">
        <v>19</v>
      </c>
      <c r="E217" s="2">
        <v>2018</v>
      </c>
      <c r="F217" s="2" t="s">
        <v>65</v>
      </c>
      <c r="G217" s="2" t="s">
        <v>77</v>
      </c>
      <c r="H217" s="2">
        <v>20764</v>
      </c>
      <c r="I217" s="2">
        <v>36</v>
      </c>
      <c r="J217" s="2">
        <v>0</v>
      </c>
      <c r="K217" s="2">
        <v>1</v>
      </c>
      <c r="L217" s="2" t="s">
        <v>35</v>
      </c>
      <c r="M217" s="2">
        <v>392</v>
      </c>
      <c r="N217" s="2" t="s">
        <v>22</v>
      </c>
      <c r="O217" s="2" t="s">
        <v>36</v>
      </c>
      <c r="P217" s="2">
        <v>500</v>
      </c>
      <c r="Q217" s="2" t="s">
        <v>24</v>
      </c>
      <c r="R217" t="str">
        <f t="shared" si="3"/>
        <v>Y</v>
      </c>
    </row>
    <row r="218" spans="1:18" x14ac:dyDescent="0.3">
      <c r="A218" s="1" t="s">
        <v>297</v>
      </c>
      <c r="B218" s="1">
        <v>72</v>
      </c>
      <c r="C218" s="1" t="s">
        <v>60</v>
      </c>
      <c r="D218" s="1" t="s">
        <v>85</v>
      </c>
      <c r="E218" s="1">
        <v>2002</v>
      </c>
      <c r="F218" s="1" t="s">
        <v>27</v>
      </c>
      <c r="G218" s="1" t="s">
        <v>38</v>
      </c>
      <c r="H218" s="1">
        <v>22202</v>
      </c>
      <c r="I218" s="1">
        <v>56</v>
      </c>
      <c r="J218" s="1">
        <v>0</v>
      </c>
      <c r="K218" s="1">
        <v>1</v>
      </c>
      <c r="L218" s="1" t="s">
        <v>29</v>
      </c>
      <c r="M218" s="1">
        <v>439</v>
      </c>
      <c r="N218" s="1" t="s">
        <v>22</v>
      </c>
      <c r="O218" s="1" t="s">
        <v>431</v>
      </c>
      <c r="P218" s="1">
        <v>15000</v>
      </c>
      <c r="Q218" s="1" t="s">
        <v>58</v>
      </c>
      <c r="R218" t="str">
        <f t="shared" si="3"/>
        <v>Y</v>
      </c>
    </row>
    <row r="219" spans="1:18" x14ac:dyDescent="0.3">
      <c r="A219" s="2" t="s">
        <v>298</v>
      </c>
      <c r="B219" s="2">
        <v>29</v>
      </c>
      <c r="C219" s="2" t="s">
        <v>60</v>
      </c>
      <c r="D219" s="2" t="s">
        <v>85</v>
      </c>
      <c r="E219" s="2">
        <v>2007</v>
      </c>
      <c r="F219" s="2" t="s">
        <v>20</v>
      </c>
      <c r="G219" s="2" t="s">
        <v>299</v>
      </c>
      <c r="H219" s="2">
        <v>15398</v>
      </c>
      <c r="I219" s="2">
        <v>11</v>
      </c>
      <c r="J219" s="2">
        <v>2</v>
      </c>
      <c r="K219" s="2">
        <v>3</v>
      </c>
      <c r="L219" s="2" t="s">
        <v>29</v>
      </c>
      <c r="M219" s="2">
        <v>430</v>
      </c>
      <c r="N219" s="2" t="s">
        <v>22</v>
      </c>
      <c r="O219" s="2" t="s">
        <v>90</v>
      </c>
      <c r="P219" s="2">
        <v>7500</v>
      </c>
      <c r="Q219" s="2" t="s">
        <v>80</v>
      </c>
      <c r="R219" t="str">
        <f t="shared" si="3"/>
        <v>Y</v>
      </c>
    </row>
    <row r="220" spans="1:18" x14ac:dyDescent="0.3">
      <c r="A220" s="1" t="s">
        <v>300</v>
      </c>
      <c r="B220" s="1">
        <v>20</v>
      </c>
      <c r="C220" s="1" t="s">
        <v>18</v>
      </c>
      <c r="D220" s="1" t="s">
        <v>85</v>
      </c>
      <c r="E220" s="1">
        <v>2019</v>
      </c>
      <c r="F220" s="1" t="s">
        <v>65</v>
      </c>
      <c r="G220" s="1" t="s">
        <v>61</v>
      </c>
      <c r="H220" s="1">
        <v>19258</v>
      </c>
      <c r="I220" s="1">
        <v>3</v>
      </c>
      <c r="J220" s="1">
        <v>0</v>
      </c>
      <c r="K220" s="1">
        <v>3</v>
      </c>
      <c r="L220" s="1" t="s">
        <v>35</v>
      </c>
      <c r="M220" s="1">
        <v>543</v>
      </c>
      <c r="N220" s="1" t="s">
        <v>75</v>
      </c>
      <c r="O220" s="1" t="s">
        <v>30</v>
      </c>
      <c r="P220" s="1">
        <v>0</v>
      </c>
      <c r="Q220" s="1" t="s">
        <v>37</v>
      </c>
      <c r="R220" t="str">
        <f t="shared" si="3"/>
        <v>N</v>
      </c>
    </row>
    <row r="221" spans="1:18" x14ac:dyDescent="0.3">
      <c r="A221" s="2" t="s">
        <v>301</v>
      </c>
      <c r="B221" s="2">
        <v>70</v>
      </c>
      <c r="C221" s="2" t="s">
        <v>60</v>
      </c>
      <c r="D221" s="2" t="s">
        <v>85</v>
      </c>
      <c r="E221" s="2">
        <v>2014</v>
      </c>
      <c r="F221" s="2" t="s">
        <v>69</v>
      </c>
      <c r="G221" s="2" t="s">
        <v>34</v>
      </c>
      <c r="H221" s="2">
        <v>9870</v>
      </c>
      <c r="I221" s="2">
        <v>53</v>
      </c>
      <c r="J221" s="2">
        <v>2</v>
      </c>
      <c r="K221" s="2">
        <v>0</v>
      </c>
      <c r="L221" s="2" t="s">
        <v>29</v>
      </c>
      <c r="M221" s="2">
        <v>562</v>
      </c>
      <c r="N221" s="2" t="s">
        <v>22</v>
      </c>
      <c r="O221" s="2" t="s">
        <v>90</v>
      </c>
      <c r="P221" s="2">
        <v>0</v>
      </c>
      <c r="Q221" s="2" t="s">
        <v>95</v>
      </c>
      <c r="R221" t="str">
        <f t="shared" si="3"/>
        <v>N</v>
      </c>
    </row>
    <row r="222" spans="1:18" x14ac:dyDescent="0.3">
      <c r="A222" s="1" t="s">
        <v>302</v>
      </c>
      <c r="B222" s="1">
        <v>46</v>
      </c>
      <c r="C222" s="1" t="s">
        <v>60</v>
      </c>
      <c r="D222" s="1" t="s">
        <v>26</v>
      </c>
      <c r="E222" s="1">
        <v>2005</v>
      </c>
      <c r="F222" s="1" t="s">
        <v>46</v>
      </c>
      <c r="G222" s="1" t="s">
        <v>47</v>
      </c>
      <c r="H222" s="1">
        <v>15409</v>
      </c>
      <c r="I222" s="1">
        <v>28</v>
      </c>
      <c r="J222" s="1">
        <v>1</v>
      </c>
      <c r="K222" s="1">
        <v>1</v>
      </c>
      <c r="L222" s="1" t="s">
        <v>35</v>
      </c>
      <c r="M222" s="1">
        <v>790</v>
      </c>
      <c r="N222" s="1" t="s">
        <v>39</v>
      </c>
      <c r="O222" s="1" t="s">
        <v>36</v>
      </c>
      <c r="P222" s="1">
        <v>0</v>
      </c>
      <c r="Q222" s="1" t="s">
        <v>126</v>
      </c>
      <c r="R222" t="str">
        <f t="shared" si="3"/>
        <v>N</v>
      </c>
    </row>
    <row r="223" spans="1:18" x14ac:dyDescent="0.3">
      <c r="A223" s="2" t="s">
        <v>303</v>
      </c>
      <c r="B223" s="2">
        <v>22</v>
      </c>
      <c r="C223" s="2" t="s">
        <v>18</v>
      </c>
      <c r="D223" s="2" t="s">
        <v>85</v>
      </c>
      <c r="E223" s="2">
        <v>2000</v>
      </c>
      <c r="F223" s="2" t="s">
        <v>27</v>
      </c>
      <c r="G223" s="2" t="s">
        <v>38</v>
      </c>
      <c r="H223" s="2">
        <v>6431</v>
      </c>
      <c r="I223" s="2">
        <v>6</v>
      </c>
      <c r="J223" s="2">
        <v>0</v>
      </c>
      <c r="K223" s="2">
        <v>0</v>
      </c>
      <c r="L223" s="2" t="s">
        <v>29</v>
      </c>
      <c r="M223" s="2">
        <v>464</v>
      </c>
      <c r="N223" s="2" t="s">
        <v>39</v>
      </c>
      <c r="O223" s="2" t="s">
        <v>67</v>
      </c>
      <c r="P223" s="2">
        <v>0</v>
      </c>
      <c r="Q223" s="2" t="s">
        <v>58</v>
      </c>
      <c r="R223" t="str">
        <f t="shared" si="3"/>
        <v>N</v>
      </c>
    </row>
    <row r="224" spans="1:18" x14ac:dyDescent="0.3">
      <c r="A224" s="1" t="s">
        <v>304</v>
      </c>
      <c r="B224" s="1">
        <v>56</v>
      </c>
      <c r="C224" s="1" t="s">
        <v>60</v>
      </c>
      <c r="D224" s="1" t="s">
        <v>26</v>
      </c>
      <c r="E224" s="1">
        <v>2022</v>
      </c>
      <c r="F224" s="1" t="s">
        <v>69</v>
      </c>
      <c r="G224" s="1" t="s">
        <v>34</v>
      </c>
      <c r="H224" s="1">
        <v>24418</v>
      </c>
      <c r="I224" s="1">
        <v>39</v>
      </c>
      <c r="J224" s="1">
        <v>1</v>
      </c>
      <c r="K224" s="1">
        <v>1</v>
      </c>
      <c r="L224" s="1" t="s">
        <v>35</v>
      </c>
      <c r="M224" s="1">
        <v>354</v>
      </c>
      <c r="N224" s="1" t="s">
        <v>22</v>
      </c>
      <c r="O224" s="1" t="s">
        <v>30</v>
      </c>
      <c r="P224" s="1">
        <v>500</v>
      </c>
      <c r="Q224" s="1" t="s">
        <v>99</v>
      </c>
      <c r="R224" t="str">
        <f t="shared" si="3"/>
        <v>Y</v>
      </c>
    </row>
    <row r="225" spans="1:18" x14ac:dyDescent="0.3">
      <c r="A225" s="2" t="s">
        <v>305</v>
      </c>
      <c r="B225" s="2">
        <v>44</v>
      </c>
      <c r="C225" s="2" t="s">
        <v>60</v>
      </c>
      <c r="D225" s="2" t="s">
        <v>85</v>
      </c>
      <c r="E225" s="2">
        <v>2021</v>
      </c>
      <c r="F225" s="2" t="s">
        <v>27</v>
      </c>
      <c r="G225" s="2" t="s">
        <v>38</v>
      </c>
      <c r="H225" s="2">
        <v>10783</v>
      </c>
      <c r="I225" s="2">
        <v>28</v>
      </c>
      <c r="J225" s="2">
        <v>0</v>
      </c>
      <c r="K225" s="2">
        <v>1</v>
      </c>
      <c r="L225" s="2" t="s">
        <v>35</v>
      </c>
      <c r="M225" s="2">
        <v>802</v>
      </c>
      <c r="N225" s="2" t="s">
        <v>22</v>
      </c>
      <c r="O225" s="2" t="s">
        <v>90</v>
      </c>
      <c r="P225" s="2">
        <v>3000</v>
      </c>
      <c r="Q225" s="2" t="s">
        <v>24</v>
      </c>
      <c r="R225" t="str">
        <f t="shared" si="3"/>
        <v>Y</v>
      </c>
    </row>
    <row r="226" spans="1:18" x14ac:dyDescent="0.3">
      <c r="A226" s="1" t="s">
        <v>306</v>
      </c>
      <c r="B226" s="1">
        <v>45</v>
      </c>
      <c r="C226" s="1" t="s">
        <v>18</v>
      </c>
      <c r="D226" s="1" t="s">
        <v>85</v>
      </c>
      <c r="E226" s="1">
        <v>2021</v>
      </c>
      <c r="F226" s="1" t="s">
        <v>20</v>
      </c>
      <c r="G226" s="1" t="s">
        <v>50</v>
      </c>
      <c r="H226" s="1">
        <v>9542</v>
      </c>
      <c r="I226" s="1">
        <v>29</v>
      </c>
      <c r="J226" s="1">
        <v>0</v>
      </c>
      <c r="K226" s="1">
        <v>0</v>
      </c>
      <c r="L226" s="1" t="s">
        <v>35</v>
      </c>
      <c r="M226" s="1">
        <v>598</v>
      </c>
      <c r="N226" s="1" t="s">
        <v>22</v>
      </c>
      <c r="O226" s="1" t="s">
        <v>23</v>
      </c>
      <c r="P226" s="1">
        <v>0</v>
      </c>
      <c r="Q226" s="1" t="s">
        <v>51</v>
      </c>
      <c r="R226" t="str">
        <f t="shared" si="3"/>
        <v>N</v>
      </c>
    </row>
    <row r="227" spans="1:18" x14ac:dyDescent="0.3">
      <c r="A227" s="2" t="s">
        <v>307</v>
      </c>
      <c r="B227" s="2">
        <v>68</v>
      </c>
      <c r="C227" s="2" t="s">
        <v>60</v>
      </c>
      <c r="D227" s="2" t="s">
        <v>26</v>
      </c>
      <c r="E227" s="2">
        <v>2015</v>
      </c>
      <c r="F227" s="2" t="s">
        <v>27</v>
      </c>
      <c r="G227" s="2" t="s">
        <v>28</v>
      </c>
      <c r="H227" s="2">
        <v>24032</v>
      </c>
      <c r="I227" s="2">
        <v>48</v>
      </c>
      <c r="J227" s="2">
        <v>1</v>
      </c>
      <c r="K227" s="2">
        <v>0</v>
      </c>
      <c r="L227" s="2" t="s">
        <v>29</v>
      </c>
      <c r="M227" s="2">
        <v>690</v>
      </c>
      <c r="N227" s="2" t="s">
        <v>75</v>
      </c>
      <c r="O227" s="2" t="s">
        <v>43</v>
      </c>
      <c r="P227" s="2">
        <v>15000</v>
      </c>
      <c r="Q227" s="2" t="s">
        <v>31</v>
      </c>
      <c r="R227" t="str">
        <f t="shared" si="3"/>
        <v>Y</v>
      </c>
    </row>
    <row r="228" spans="1:18" x14ac:dyDescent="0.3">
      <c r="A228" s="1" t="s">
        <v>308</v>
      </c>
      <c r="B228" s="1">
        <v>32</v>
      </c>
      <c r="C228" s="1" t="s">
        <v>60</v>
      </c>
      <c r="D228" s="1" t="s">
        <v>33</v>
      </c>
      <c r="E228" s="1">
        <v>2012</v>
      </c>
      <c r="F228" s="1" t="s">
        <v>79</v>
      </c>
      <c r="G228" s="1" t="s">
        <v>129</v>
      </c>
      <c r="H228" s="1">
        <v>20547</v>
      </c>
      <c r="I228" s="1">
        <v>13</v>
      </c>
      <c r="J228" s="1">
        <v>1</v>
      </c>
      <c r="K228" s="1">
        <v>0</v>
      </c>
      <c r="L228" s="1" t="s">
        <v>29</v>
      </c>
      <c r="M228" s="1">
        <v>606</v>
      </c>
      <c r="N228" s="1" t="s">
        <v>22</v>
      </c>
      <c r="O228" s="1" t="s">
        <v>431</v>
      </c>
      <c r="P228" s="1">
        <v>0</v>
      </c>
      <c r="Q228" s="1" t="s">
        <v>103</v>
      </c>
      <c r="R228" t="str">
        <f t="shared" si="3"/>
        <v>N</v>
      </c>
    </row>
    <row r="229" spans="1:18" x14ac:dyDescent="0.3">
      <c r="A229" s="2" t="s">
        <v>309</v>
      </c>
      <c r="B229" s="2">
        <v>54</v>
      </c>
      <c r="C229" s="2" t="s">
        <v>60</v>
      </c>
      <c r="D229" s="2" t="s">
        <v>19</v>
      </c>
      <c r="E229" s="2">
        <v>2003</v>
      </c>
      <c r="F229" s="2" t="s">
        <v>73</v>
      </c>
      <c r="G229" s="2" t="s">
        <v>117</v>
      </c>
      <c r="H229" s="2">
        <v>8477</v>
      </c>
      <c r="I229" s="2">
        <v>37</v>
      </c>
      <c r="J229" s="2">
        <v>0</v>
      </c>
      <c r="K229" s="2">
        <v>0</v>
      </c>
      <c r="L229" s="2" t="s">
        <v>35</v>
      </c>
      <c r="M229" s="2">
        <v>733</v>
      </c>
      <c r="N229" s="2" t="s">
        <v>22</v>
      </c>
      <c r="O229" s="2" t="s">
        <v>431</v>
      </c>
      <c r="P229" s="2">
        <v>500</v>
      </c>
      <c r="Q229" s="2" t="s">
        <v>105</v>
      </c>
      <c r="R229" t="str">
        <f t="shared" si="3"/>
        <v>Y</v>
      </c>
    </row>
    <row r="230" spans="1:18" x14ac:dyDescent="0.3">
      <c r="A230" s="1" t="s">
        <v>310</v>
      </c>
      <c r="B230" s="1">
        <v>71</v>
      </c>
      <c r="C230" s="1" t="s">
        <v>60</v>
      </c>
      <c r="D230" s="1" t="s">
        <v>85</v>
      </c>
      <c r="E230" s="1">
        <v>2010</v>
      </c>
      <c r="F230" s="1" t="s">
        <v>69</v>
      </c>
      <c r="G230" s="1" t="s">
        <v>88</v>
      </c>
      <c r="H230" s="1">
        <v>15717</v>
      </c>
      <c r="I230" s="1">
        <v>51</v>
      </c>
      <c r="J230" s="1">
        <v>1</v>
      </c>
      <c r="K230" s="1">
        <v>2</v>
      </c>
      <c r="L230" s="1" t="s">
        <v>29</v>
      </c>
      <c r="M230" s="1">
        <v>582</v>
      </c>
      <c r="N230" s="1" t="s">
        <v>39</v>
      </c>
      <c r="O230" s="1" t="s">
        <v>23</v>
      </c>
      <c r="P230" s="1">
        <v>0</v>
      </c>
      <c r="Q230" s="1" t="s">
        <v>41</v>
      </c>
      <c r="R230" t="str">
        <f t="shared" si="3"/>
        <v>N</v>
      </c>
    </row>
    <row r="231" spans="1:18" x14ac:dyDescent="0.3">
      <c r="A231" s="2" t="s">
        <v>311</v>
      </c>
      <c r="B231" s="2">
        <v>55</v>
      </c>
      <c r="C231" s="2" t="s">
        <v>60</v>
      </c>
      <c r="D231" s="2" t="s">
        <v>26</v>
      </c>
      <c r="E231" s="2">
        <v>2003</v>
      </c>
      <c r="F231" s="2" t="s">
        <v>46</v>
      </c>
      <c r="G231" s="2" t="s">
        <v>110</v>
      </c>
      <c r="H231" s="2">
        <v>7856</v>
      </c>
      <c r="I231" s="2">
        <v>35</v>
      </c>
      <c r="J231" s="2">
        <v>1</v>
      </c>
      <c r="K231" s="2">
        <v>2</v>
      </c>
      <c r="L231" s="2" t="s">
        <v>35</v>
      </c>
      <c r="M231" s="2">
        <v>408</v>
      </c>
      <c r="N231" s="2" t="s">
        <v>39</v>
      </c>
      <c r="O231" s="2" t="s">
        <v>67</v>
      </c>
      <c r="P231" s="2">
        <v>1200</v>
      </c>
      <c r="Q231" s="2" t="s">
        <v>44</v>
      </c>
      <c r="R231" t="str">
        <f t="shared" si="3"/>
        <v>Y</v>
      </c>
    </row>
    <row r="232" spans="1:18" x14ac:dyDescent="0.3">
      <c r="A232" s="1" t="s">
        <v>312</v>
      </c>
      <c r="B232" s="1">
        <v>74</v>
      </c>
      <c r="C232" s="1" t="s">
        <v>18</v>
      </c>
      <c r="D232" s="1" t="s">
        <v>26</v>
      </c>
      <c r="E232" s="1">
        <v>2008</v>
      </c>
      <c r="F232" s="1" t="s">
        <v>46</v>
      </c>
      <c r="G232" s="1" t="s">
        <v>400</v>
      </c>
      <c r="H232" s="1">
        <v>18911</v>
      </c>
      <c r="I232" s="1">
        <v>54</v>
      </c>
      <c r="J232" s="1">
        <v>1</v>
      </c>
      <c r="K232" s="1">
        <v>1</v>
      </c>
      <c r="L232" s="1" t="s">
        <v>35</v>
      </c>
      <c r="M232" s="1">
        <v>476</v>
      </c>
      <c r="N232" s="1" t="s">
        <v>75</v>
      </c>
      <c r="O232" s="1" t="s">
        <v>431</v>
      </c>
      <c r="P232" s="1">
        <v>0</v>
      </c>
      <c r="Q232" s="1" t="s">
        <v>41</v>
      </c>
      <c r="R232" t="str">
        <f t="shared" si="3"/>
        <v>N</v>
      </c>
    </row>
    <row r="233" spans="1:18" x14ac:dyDescent="0.3">
      <c r="A233" s="2" t="s">
        <v>313</v>
      </c>
      <c r="B233" s="2">
        <v>56</v>
      </c>
      <c r="C233" s="2" t="s">
        <v>60</v>
      </c>
      <c r="D233" s="2" t="s">
        <v>26</v>
      </c>
      <c r="E233" s="2">
        <v>2001</v>
      </c>
      <c r="F233" s="2" t="s">
        <v>46</v>
      </c>
      <c r="G233" s="2" t="s">
        <v>47</v>
      </c>
      <c r="H233" s="2">
        <v>10784</v>
      </c>
      <c r="I233" s="2">
        <v>40</v>
      </c>
      <c r="J233" s="2">
        <v>2</v>
      </c>
      <c r="K233" s="2">
        <v>1</v>
      </c>
      <c r="L233" s="2" t="s">
        <v>29</v>
      </c>
      <c r="M233" s="2">
        <v>681</v>
      </c>
      <c r="N233" s="2" t="s">
        <v>22</v>
      </c>
      <c r="O233" s="2" t="s">
        <v>30</v>
      </c>
      <c r="P233" s="2">
        <v>1200</v>
      </c>
      <c r="Q233" s="2" t="s">
        <v>51</v>
      </c>
      <c r="R233" t="str">
        <f t="shared" si="3"/>
        <v>Y</v>
      </c>
    </row>
    <row r="234" spans="1:18" x14ac:dyDescent="0.3">
      <c r="A234" s="1" t="s">
        <v>314</v>
      </c>
      <c r="B234" s="1">
        <v>35</v>
      </c>
      <c r="C234" s="1" t="s">
        <v>60</v>
      </c>
      <c r="D234" s="1" t="s">
        <v>33</v>
      </c>
      <c r="E234" s="1">
        <v>2007</v>
      </c>
      <c r="F234" s="1" t="s">
        <v>65</v>
      </c>
      <c r="G234" s="1" t="s">
        <v>77</v>
      </c>
      <c r="H234" s="1">
        <v>17519</v>
      </c>
      <c r="I234" s="1">
        <v>17</v>
      </c>
      <c r="J234" s="1">
        <v>0</v>
      </c>
      <c r="K234" s="1">
        <v>3</v>
      </c>
      <c r="L234" s="1" t="s">
        <v>29</v>
      </c>
      <c r="M234" s="1">
        <v>391</v>
      </c>
      <c r="N234" s="1" t="s">
        <v>22</v>
      </c>
      <c r="O234" s="1" t="s">
        <v>23</v>
      </c>
      <c r="P234" s="1">
        <v>500</v>
      </c>
      <c r="Q234" s="1" t="s">
        <v>48</v>
      </c>
      <c r="R234" t="str">
        <f t="shared" si="3"/>
        <v>Y</v>
      </c>
    </row>
    <row r="235" spans="1:18" x14ac:dyDescent="0.3">
      <c r="A235" s="2" t="s">
        <v>315</v>
      </c>
      <c r="B235" s="2">
        <v>65</v>
      </c>
      <c r="C235" s="2" t="s">
        <v>60</v>
      </c>
      <c r="D235" s="2" t="s">
        <v>85</v>
      </c>
      <c r="E235" s="2">
        <v>2001</v>
      </c>
      <c r="F235" s="2" t="s">
        <v>79</v>
      </c>
      <c r="G235" s="2" t="s">
        <v>56</v>
      </c>
      <c r="H235" s="2">
        <v>5150</v>
      </c>
      <c r="I235" s="2">
        <v>47</v>
      </c>
      <c r="J235" s="2">
        <v>2</v>
      </c>
      <c r="K235" s="2">
        <v>2</v>
      </c>
      <c r="L235" s="2" t="s">
        <v>29</v>
      </c>
      <c r="M235" s="2">
        <v>438</v>
      </c>
      <c r="N235" s="2" t="s">
        <v>39</v>
      </c>
      <c r="O235" s="2" t="s">
        <v>432</v>
      </c>
      <c r="P235" s="2">
        <v>0</v>
      </c>
      <c r="Q235" s="2" t="s">
        <v>98</v>
      </c>
      <c r="R235" t="str">
        <f t="shared" si="3"/>
        <v>N</v>
      </c>
    </row>
    <row r="236" spans="1:18" x14ac:dyDescent="0.3">
      <c r="A236" s="1" t="s">
        <v>316</v>
      </c>
      <c r="B236" s="1">
        <v>30</v>
      </c>
      <c r="C236" s="1" t="s">
        <v>18</v>
      </c>
      <c r="D236" s="1" t="s">
        <v>33</v>
      </c>
      <c r="E236" s="1">
        <v>2007</v>
      </c>
      <c r="F236" s="1" t="s">
        <v>69</v>
      </c>
      <c r="G236" s="1" t="s">
        <v>34</v>
      </c>
      <c r="H236" s="1">
        <v>4656</v>
      </c>
      <c r="I236" s="1">
        <v>12</v>
      </c>
      <c r="J236" s="1">
        <v>2</v>
      </c>
      <c r="K236" s="1">
        <v>0</v>
      </c>
      <c r="L236" s="1" t="s">
        <v>29</v>
      </c>
      <c r="M236" s="1">
        <v>677</v>
      </c>
      <c r="N236" s="1" t="s">
        <v>75</v>
      </c>
      <c r="O236" s="1" t="s">
        <v>62</v>
      </c>
      <c r="P236" s="1">
        <v>7500</v>
      </c>
      <c r="Q236" s="1" t="s">
        <v>86</v>
      </c>
      <c r="R236" t="str">
        <f t="shared" si="3"/>
        <v>Y</v>
      </c>
    </row>
    <row r="237" spans="1:18" x14ac:dyDescent="0.3">
      <c r="A237" s="2" t="s">
        <v>317</v>
      </c>
      <c r="B237" s="2">
        <v>61</v>
      </c>
      <c r="C237" s="2" t="s">
        <v>18</v>
      </c>
      <c r="D237" s="2" t="s">
        <v>19</v>
      </c>
      <c r="E237" s="2">
        <v>2011</v>
      </c>
      <c r="F237" s="2" t="s">
        <v>73</v>
      </c>
      <c r="G237" s="2" t="s">
        <v>83</v>
      </c>
      <c r="H237" s="2">
        <v>17617</v>
      </c>
      <c r="I237" s="2">
        <v>44</v>
      </c>
      <c r="J237" s="2">
        <v>1</v>
      </c>
      <c r="K237" s="2">
        <v>2</v>
      </c>
      <c r="L237" s="2" t="s">
        <v>35</v>
      </c>
      <c r="M237" s="2">
        <v>658</v>
      </c>
      <c r="N237" s="2" t="s">
        <v>75</v>
      </c>
      <c r="O237" s="2" t="s">
        <v>43</v>
      </c>
      <c r="P237" s="2">
        <v>1200</v>
      </c>
      <c r="Q237" s="2" t="s">
        <v>37</v>
      </c>
      <c r="R237" t="str">
        <f t="shared" si="3"/>
        <v>Y</v>
      </c>
    </row>
    <row r="238" spans="1:18" x14ac:dyDescent="0.3">
      <c r="A238" s="1" t="s">
        <v>318</v>
      </c>
      <c r="B238" s="1">
        <v>36</v>
      </c>
      <c r="C238" s="1" t="s">
        <v>18</v>
      </c>
      <c r="D238" s="1" t="s">
        <v>26</v>
      </c>
      <c r="E238" s="1">
        <v>2001</v>
      </c>
      <c r="F238" s="1" t="s">
        <v>65</v>
      </c>
      <c r="G238" s="1" t="s">
        <v>66</v>
      </c>
      <c r="H238" s="1">
        <v>10022</v>
      </c>
      <c r="I238" s="1">
        <v>19</v>
      </c>
      <c r="J238" s="1">
        <v>2</v>
      </c>
      <c r="K238" s="1">
        <v>0</v>
      </c>
      <c r="L238" s="1" t="s">
        <v>35</v>
      </c>
      <c r="M238" s="1">
        <v>575</v>
      </c>
      <c r="N238" s="1" t="s">
        <v>39</v>
      </c>
      <c r="O238" s="1" t="s">
        <v>431</v>
      </c>
      <c r="P238" s="1">
        <v>0</v>
      </c>
      <c r="Q238" s="1" t="s">
        <v>24</v>
      </c>
      <c r="R238" t="str">
        <f t="shared" si="3"/>
        <v>N</v>
      </c>
    </row>
    <row r="239" spans="1:18" x14ac:dyDescent="0.3">
      <c r="A239" s="2" t="s">
        <v>319</v>
      </c>
      <c r="B239" s="2">
        <v>48</v>
      </c>
      <c r="C239" s="2" t="s">
        <v>18</v>
      </c>
      <c r="D239" s="2" t="s">
        <v>19</v>
      </c>
      <c r="E239" s="2">
        <v>2019</v>
      </c>
      <c r="F239" s="2" t="s">
        <v>69</v>
      </c>
      <c r="G239" s="2" t="s">
        <v>88</v>
      </c>
      <c r="H239" s="2">
        <v>11270</v>
      </c>
      <c r="I239" s="2">
        <v>28</v>
      </c>
      <c r="J239" s="2">
        <v>0</v>
      </c>
      <c r="K239" s="2">
        <v>3</v>
      </c>
      <c r="L239" s="2" t="s">
        <v>29</v>
      </c>
      <c r="M239" s="2">
        <v>733</v>
      </c>
      <c r="N239" s="2" t="s">
        <v>75</v>
      </c>
      <c r="O239" s="2" t="s">
        <v>30</v>
      </c>
      <c r="P239" s="2">
        <v>15000</v>
      </c>
      <c r="Q239" s="2" t="s">
        <v>63</v>
      </c>
      <c r="R239" t="str">
        <f t="shared" si="3"/>
        <v>Y</v>
      </c>
    </row>
    <row r="240" spans="1:18" x14ac:dyDescent="0.3">
      <c r="A240" s="1" t="s">
        <v>320</v>
      </c>
      <c r="B240" s="1">
        <v>61</v>
      </c>
      <c r="C240" s="1" t="s">
        <v>18</v>
      </c>
      <c r="D240" s="1" t="s">
        <v>26</v>
      </c>
      <c r="E240" s="1">
        <v>2002</v>
      </c>
      <c r="F240" s="1" t="s">
        <v>27</v>
      </c>
      <c r="G240" s="1" t="s">
        <v>38</v>
      </c>
      <c r="H240" s="1">
        <v>23991</v>
      </c>
      <c r="I240" s="1">
        <v>43</v>
      </c>
      <c r="J240" s="1">
        <v>0</v>
      </c>
      <c r="K240" s="1">
        <v>1</v>
      </c>
      <c r="L240" s="1" t="s">
        <v>29</v>
      </c>
      <c r="M240" s="1">
        <v>492</v>
      </c>
      <c r="N240" s="1" t="s">
        <v>22</v>
      </c>
      <c r="O240" s="1" t="s">
        <v>62</v>
      </c>
      <c r="P240" s="1">
        <v>500</v>
      </c>
      <c r="Q240" s="1" t="s">
        <v>31</v>
      </c>
      <c r="R240" t="str">
        <f t="shared" si="3"/>
        <v>Y</v>
      </c>
    </row>
    <row r="241" spans="1:18" x14ac:dyDescent="0.3">
      <c r="A241" s="2" t="s">
        <v>321</v>
      </c>
      <c r="B241" s="2">
        <v>69</v>
      </c>
      <c r="C241" s="2" t="s">
        <v>60</v>
      </c>
      <c r="D241" s="2" t="s">
        <v>26</v>
      </c>
      <c r="E241" s="2">
        <v>2021</v>
      </c>
      <c r="F241" s="2" t="s">
        <v>27</v>
      </c>
      <c r="G241" s="2" t="s">
        <v>28</v>
      </c>
      <c r="H241" s="2">
        <v>3834</v>
      </c>
      <c r="I241" s="2">
        <v>50</v>
      </c>
      <c r="J241" s="2">
        <v>0</v>
      </c>
      <c r="K241" s="2">
        <v>1</v>
      </c>
      <c r="L241" s="2" t="s">
        <v>29</v>
      </c>
      <c r="M241" s="2">
        <v>714</v>
      </c>
      <c r="N241" s="2" t="s">
        <v>75</v>
      </c>
      <c r="O241" s="2" t="s">
        <v>90</v>
      </c>
      <c r="P241" s="2">
        <v>500</v>
      </c>
      <c r="Q241" s="2" t="s">
        <v>58</v>
      </c>
      <c r="R241" t="str">
        <f t="shared" si="3"/>
        <v>Y</v>
      </c>
    </row>
    <row r="242" spans="1:18" x14ac:dyDescent="0.3">
      <c r="A242" s="1" t="s">
        <v>322</v>
      </c>
      <c r="B242" s="1">
        <v>65</v>
      </c>
      <c r="C242" s="1" t="s">
        <v>18</v>
      </c>
      <c r="D242" s="1" t="s">
        <v>19</v>
      </c>
      <c r="E242" s="1">
        <v>2021</v>
      </c>
      <c r="F242" s="1" t="s">
        <v>27</v>
      </c>
      <c r="G242" s="1" t="s">
        <v>28</v>
      </c>
      <c r="H242" s="1">
        <v>10282</v>
      </c>
      <c r="I242" s="1">
        <v>47</v>
      </c>
      <c r="J242" s="1">
        <v>0</v>
      </c>
      <c r="K242" s="1">
        <v>3</v>
      </c>
      <c r="L242" s="1" t="s">
        <v>29</v>
      </c>
      <c r="M242" s="1">
        <v>730</v>
      </c>
      <c r="N242" s="1" t="s">
        <v>75</v>
      </c>
      <c r="O242" s="1" t="s">
        <v>30</v>
      </c>
      <c r="P242" s="1">
        <v>1200</v>
      </c>
      <c r="Q242" s="1" t="s">
        <v>80</v>
      </c>
      <c r="R242" t="str">
        <f t="shared" si="3"/>
        <v>Y</v>
      </c>
    </row>
    <row r="243" spans="1:18" x14ac:dyDescent="0.3">
      <c r="A243" s="2" t="s">
        <v>323</v>
      </c>
      <c r="B243" s="2">
        <v>36</v>
      </c>
      <c r="C243" s="2" t="s">
        <v>60</v>
      </c>
      <c r="D243" s="2" t="s">
        <v>33</v>
      </c>
      <c r="E243" s="2">
        <v>2015</v>
      </c>
      <c r="F243" s="2" t="s">
        <v>69</v>
      </c>
      <c r="G243" s="2" t="s">
        <v>70</v>
      </c>
      <c r="H243" s="2">
        <v>22122</v>
      </c>
      <c r="I243" s="2">
        <v>16</v>
      </c>
      <c r="J243" s="2">
        <v>1</v>
      </c>
      <c r="K243" s="2">
        <v>0</v>
      </c>
      <c r="L243" s="2" t="s">
        <v>29</v>
      </c>
      <c r="M243" s="2">
        <v>499</v>
      </c>
      <c r="N243" s="2" t="s">
        <v>39</v>
      </c>
      <c r="O243" s="2" t="s">
        <v>67</v>
      </c>
      <c r="P243" s="2">
        <v>7500</v>
      </c>
      <c r="Q243" s="2" t="s">
        <v>103</v>
      </c>
      <c r="R243" t="str">
        <f t="shared" si="3"/>
        <v>Y</v>
      </c>
    </row>
    <row r="244" spans="1:18" x14ac:dyDescent="0.3">
      <c r="A244" s="1" t="s">
        <v>324</v>
      </c>
      <c r="B244" s="1">
        <v>37</v>
      </c>
      <c r="C244" s="1" t="s">
        <v>60</v>
      </c>
      <c r="D244" s="1" t="s">
        <v>33</v>
      </c>
      <c r="E244" s="1">
        <v>2004</v>
      </c>
      <c r="F244" s="1" t="s">
        <v>65</v>
      </c>
      <c r="G244" s="1" t="s">
        <v>61</v>
      </c>
      <c r="H244" s="1">
        <v>14228</v>
      </c>
      <c r="I244" s="1">
        <v>18</v>
      </c>
      <c r="J244" s="1">
        <v>1</v>
      </c>
      <c r="K244" s="1">
        <v>1</v>
      </c>
      <c r="L244" s="1" t="s">
        <v>35</v>
      </c>
      <c r="M244" s="1">
        <v>623</v>
      </c>
      <c r="N244" s="1" t="s">
        <v>39</v>
      </c>
      <c r="O244" s="1" t="s">
        <v>43</v>
      </c>
      <c r="P244" s="1">
        <v>0</v>
      </c>
      <c r="Q244" s="1" t="s">
        <v>108</v>
      </c>
      <c r="R244" t="str">
        <f t="shared" si="3"/>
        <v>N</v>
      </c>
    </row>
    <row r="245" spans="1:18" x14ac:dyDescent="0.3">
      <c r="A245" s="2" t="s">
        <v>325</v>
      </c>
      <c r="B245" s="2">
        <v>39</v>
      </c>
      <c r="C245" s="2" t="s">
        <v>60</v>
      </c>
      <c r="D245" s="2" t="s">
        <v>19</v>
      </c>
      <c r="E245" s="2">
        <v>2010</v>
      </c>
      <c r="F245" s="2" t="s">
        <v>69</v>
      </c>
      <c r="G245" s="2" t="s">
        <v>88</v>
      </c>
      <c r="H245" s="2">
        <v>17812</v>
      </c>
      <c r="I245" s="2">
        <v>21</v>
      </c>
      <c r="J245" s="2">
        <v>0</v>
      </c>
      <c r="K245" s="2">
        <v>0</v>
      </c>
      <c r="L245" s="2" t="s">
        <v>35</v>
      </c>
      <c r="M245" s="2">
        <v>462</v>
      </c>
      <c r="N245" s="2" t="s">
        <v>75</v>
      </c>
      <c r="O245" s="2" t="s">
        <v>67</v>
      </c>
      <c r="P245" s="2">
        <v>0</v>
      </c>
      <c r="Q245" s="2" t="s">
        <v>41</v>
      </c>
      <c r="R245" t="str">
        <f t="shared" si="3"/>
        <v>N</v>
      </c>
    </row>
    <row r="246" spans="1:18" x14ac:dyDescent="0.3">
      <c r="A246" s="1" t="s">
        <v>326</v>
      </c>
      <c r="B246" s="1">
        <v>45</v>
      </c>
      <c r="C246" s="1" t="s">
        <v>60</v>
      </c>
      <c r="D246" s="1" t="s">
        <v>26</v>
      </c>
      <c r="E246" s="1">
        <v>2012</v>
      </c>
      <c r="F246" s="1" t="s">
        <v>46</v>
      </c>
      <c r="G246" s="1" t="s">
        <v>47</v>
      </c>
      <c r="H246" s="1">
        <v>15560</v>
      </c>
      <c r="I246" s="1">
        <v>29</v>
      </c>
      <c r="J246" s="1">
        <v>0</v>
      </c>
      <c r="K246" s="1">
        <v>2</v>
      </c>
      <c r="L246" s="1" t="s">
        <v>35</v>
      </c>
      <c r="M246" s="1">
        <v>682</v>
      </c>
      <c r="N246" s="1" t="s">
        <v>22</v>
      </c>
      <c r="O246" s="1" t="s">
        <v>30</v>
      </c>
      <c r="P246" s="1">
        <v>500</v>
      </c>
      <c r="Q246" s="1" t="s">
        <v>24</v>
      </c>
      <c r="R246" t="str">
        <f t="shared" si="3"/>
        <v>Y</v>
      </c>
    </row>
    <row r="247" spans="1:18" x14ac:dyDescent="0.3">
      <c r="A247" s="2" t="s">
        <v>327</v>
      </c>
      <c r="B247" s="2">
        <v>61</v>
      </c>
      <c r="C247" s="2" t="s">
        <v>18</v>
      </c>
      <c r="D247" s="2" t="s">
        <v>19</v>
      </c>
      <c r="E247" s="2">
        <v>2007</v>
      </c>
      <c r="F247" s="2" t="s">
        <v>27</v>
      </c>
      <c r="G247" s="2" t="s">
        <v>38</v>
      </c>
      <c r="H247" s="2">
        <v>7224</v>
      </c>
      <c r="I247" s="2">
        <v>45</v>
      </c>
      <c r="J247" s="2">
        <v>1</v>
      </c>
      <c r="K247" s="2">
        <v>2</v>
      </c>
      <c r="L247" s="2" t="s">
        <v>35</v>
      </c>
      <c r="M247" s="2">
        <v>613</v>
      </c>
      <c r="N247" s="2" t="s">
        <v>22</v>
      </c>
      <c r="O247" s="2" t="s">
        <v>67</v>
      </c>
      <c r="P247" s="2">
        <v>0</v>
      </c>
      <c r="Q247" s="2" t="s">
        <v>51</v>
      </c>
      <c r="R247" t="str">
        <f t="shared" si="3"/>
        <v>N</v>
      </c>
    </row>
    <row r="248" spans="1:18" x14ac:dyDescent="0.3">
      <c r="A248" s="1" t="s">
        <v>328</v>
      </c>
      <c r="B248" s="1">
        <v>36</v>
      </c>
      <c r="C248" s="1" t="s">
        <v>60</v>
      </c>
      <c r="D248" s="1" t="s">
        <v>85</v>
      </c>
      <c r="E248" s="1">
        <v>2013</v>
      </c>
      <c r="F248" s="1" t="s">
        <v>65</v>
      </c>
      <c r="G248" s="1" t="s">
        <v>77</v>
      </c>
      <c r="H248" s="1">
        <v>19062</v>
      </c>
      <c r="I248" s="1">
        <v>18</v>
      </c>
      <c r="J248" s="1">
        <v>0</v>
      </c>
      <c r="K248" s="1">
        <v>0</v>
      </c>
      <c r="L248" s="1" t="s">
        <v>29</v>
      </c>
      <c r="M248" s="1">
        <v>319</v>
      </c>
      <c r="N248" s="1" t="s">
        <v>22</v>
      </c>
      <c r="O248" s="1" t="s">
        <v>36</v>
      </c>
      <c r="P248" s="1">
        <v>0</v>
      </c>
      <c r="Q248" s="1" t="s">
        <v>99</v>
      </c>
      <c r="R248" t="str">
        <f t="shared" si="3"/>
        <v>N</v>
      </c>
    </row>
    <row r="249" spans="1:18" x14ac:dyDescent="0.3">
      <c r="A249" s="2" t="s">
        <v>329</v>
      </c>
      <c r="B249" s="2">
        <v>64</v>
      </c>
      <c r="C249" s="2" t="s">
        <v>18</v>
      </c>
      <c r="D249" s="2" t="s">
        <v>19</v>
      </c>
      <c r="E249" s="2">
        <v>2003</v>
      </c>
      <c r="F249" s="2" t="s">
        <v>27</v>
      </c>
      <c r="G249" s="2" t="s">
        <v>28</v>
      </c>
      <c r="H249" s="2">
        <v>15294</v>
      </c>
      <c r="I249" s="2">
        <v>46</v>
      </c>
      <c r="J249" s="2">
        <v>1</v>
      </c>
      <c r="K249" s="2">
        <v>2</v>
      </c>
      <c r="L249" s="2" t="s">
        <v>35</v>
      </c>
      <c r="M249" s="2">
        <v>349</v>
      </c>
      <c r="N249" s="2" t="s">
        <v>39</v>
      </c>
      <c r="O249" s="2" t="s">
        <v>67</v>
      </c>
      <c r="P249" s="2">
        <v>0</v>
      </c>
      <c r="Q249" s="2" t="s">
        <v>31</v>
      </c>
      <c r="R249" t="str">
        <f t="shared" si="3"/>
        <v>N</v>
      </c>
    </row>
    <row r="250" spans="1:18" x14ac:dyDescent="0.3">
      <c r="A250" s="1" t="s">
        <v>330</v>
      </c>
      <c r="B250" s="1">
        <v>62</v>
      </c>
      <c r="C250" s="1" t="s">
        <v>18</v>
      </c>
      <c r="D250" s="1" t="s">
        <v>26</v>
      </c>
      <c r="E250" s="1">
        <v>2014</v>
      </c>
      <c r="F250" s="1" t="s">
        <v>46</v>
      </c>
      <c r="G250" s="1" t="s">
        <v>110</v>
      </c>
      <c r="H250" s="1">
        <v>20933</v>
      </c>
      <c r="I250" s="1">
        <v>44</v>
      </c>
      <c r="J250" s="1">
        <v>1</v>
      </c>
      <c r="K250" s="1">
        <v>3</v>
      </c>
      <c r="L250" s="1" t="s">
        <v>35</v>
      </c>
      <c r="M250" s="1">
        <v>510</v>
      </c>
      <c r="N250" s="1" t="s">
        <v>39</v>
      </c>
      <c r="O250" s="1" t="s">
        <v>90</v>
      </c>
      <c r="P250" s="1">
        <v>1200</v>
      </c>
      <c r="Q250" s="1" t="s">
        <v>48</v>
      </c>
      <c r="R250" t="str">
        <f t="shared" si="3"/>
        <v>Y</v>
      </c>
    </row>
    <row r="251" spans="1:18" x14ac:dyDescent="0.3">
      <c r="A251" s="2" t="s">
        <v>331</v>
      </c>
      <c r="B251" s="2">
        <v>60</v>
      </c>
      <c r="C251" s="2" t="s">
        <v>18</v>
      </c>
      <c r="D251" s="2" t="s">
        <v>85</v>
      </c>
      <c r="E251" s="2">
        <v>2019</v>
      </c>
      <c r="F251" s="2" t="s">
        <v>20</v>
      </c>
      <c r="G251" s="2" t="s">
        <v>21</v>
      </c>
      <c r="H251" s="2">
        <v>16724</v>
      </c>
      <c r="I251" s="2">
        <v>44</v>
      </c>
      <c r="J251" s="2">
        <v>1</v>
      </c>
      <c r="K251" s="2">
        <v>3</v>
      </c>
      <c r="L251" s="2" t="s">
        <v>35</v>
      </c>
      <c r="M251" s="2">
        <v>420</v>
      </c>
      <c r="N251" s="2" t="s">
        <v>75</v>
      </c>
      <c r="O251" s="2" t="s">
        <v>67</v>
      </c>
      <c r="P251" s="2">
        <v>0</v>
      </c>
      <c r="Q251" s="2" t="s">
        <v>108</v>
      </c>
      <c r="R251" t="str">
        <f t="shared" si="3"/>
        <v>N</v>
      </c>
    </row>
    <row r="252" spans="1:18" x14ac:dyDescent="0.3">
      <c r="A252" s="1" t="s">
        <v>332</v>
      </c>
      <c r="B252" s="1">
        <v>30</v>
      </c>
      <c r="C252" s="1" t="s">
        <v>60</v>
      </c>
      <c r="D252" s="1" t="s">
        <v>19</v>
      </c>
      <c r="E252" s="1">
        <v>2024</v>
      </c>
      <c r="F252" s="1" t="s">
        <v>27</v>
      </c>
      <c r="G252" s="1" t="s">
        <v>53</v>
      </c>
      <c r="H252" s="1">
        <v>9608</v>
      </c>
      <c r="I252" s="1">
        <v>12</v>
      </c>
      <c r="J252" s="1">
        <v>2</v>
      </c>
      <c r="K252" s="1">
        <v>1</v>
      </c>
      <c r="L252" s="1" t="s">
        <v>29</v>
      </c>
      <c r="M252" s="1">
        <v>464</v>
      </c>
      <c r="N252" s="1" t="s">
        <v>22</v>
      </c>
      <c r="O252" s="1" t="s">
        <v>62</v>
      </c>
      <c r="P252" s="1">
        <v>15000</v>
      </c>
      <c r="Q252" s="1" t="s">
        <v>99</v>
      </c>
      <c r="R252" t="str">
        <f t="shared" si="3"/>
        <v>Y</v>
      </c>
    </row>
    <row r="253" spans="1:18" x14ac:dyDescent="0.3">
      <c r="A253" s="2" t="s">
        <v>333</v>
      </c>
      <c r="B253" s="2">
        <v>62</v>
      </c>
      <c r="C253" s="2" t="s">
        <v>60</v>
      </c>
      <c r="D253" s="2" t="s">
        <v>85</v>
      </c>
      <c r="E253" s="2">
        <v>2007</v>
      </c>
      <c r="F253" s="2" t="s">
        <v>69</v>
      </c>
      <c r="G253" s="2" t="s">
        <v>88</v>
      </c>
      <c r="H253" s="2">
        <v>5916</v>
      </c>
      <c r="I253" s="2">
        <v>46</v>
      </c>
      <c r="J253" s="2">
        <v>1</v>
      </c>
      <c r="K253" s="2">
        <v>3</v>
      </c>
      <c r="L253" s="2" t="s">
        <v>29</v>
      </c>
      <c r="M253" s="2">
        <v>452</v>
      </c>
      <c r="N253" s="2" t="s">
        <v>22</v>
      </c>
      <c r="O253" s="2" t="s">
        <v>62</v>
      </c>
      <c r="P253" s="2">
        <v>0</v>
      </c>
      <c r="Q253" s="2" t="s">
        <v>86</v>
      </c>
      <c r="R253" t="str">
        <f t="shared" si="3"/>
        <v>N</v>
      </c>
    </row>
    <row r="254" spans="1:18" x14ac:dyDescent="0.3">
      <c r="A254" s="1" t="s">
        <v>334</v>
      </c>
      <c r="B254" s="1">
        <v>75</v>
      </c>
      <c r="C254" s="1" t="s">
        <v>18</v>
      </c>
      <c r="D254" s="1" t="s">
        <v>19</v>
      </c>
      <c r="E254" s="1">
        <v>2014</v>
      </c>
      <c r="F254" s="1" t="s">
        <v>27</v>
      </c>
      <c r="G254" s="1" t="s">
        <v>38</v>
      </c>
      <c r="H254" s="1">
        <v>18213</v>
      </c>
      <c r="I254" s="1">
        <v>59</v>
      </c>
      <c r="J254" s="1">
        <v>0</v>
      </c>
      <c r="K254" s="1">
        <v>0</v>
      </c>
      <c r="L254" s="1" t="s">
        <v>35</v>
      </c>
      <c r="M254" s="1">
        <v>597</v>
      </c>
      <c r="N254" s="1" t="s">
        <v>75</v>
      </c>
      <c r="O254" s="1" t="s">
        <v>30</v>
      </c>
      <c r="P254" s="1">
        <v>7500</v>
      </c>
      <c r="Q254" s="1" t="s">
        <v>86</v>
      </c>
      <c r="R254" t="str">
        <f t="shared" si="3"/>
        <v>Y</v>
      </c>
    </row>
    <row r="255" spans="1:18" x14ac:dyDescent="0.3">
      <c r="A255" s="2" t="s">
        <v>335</v>
      </c>
      <c r="B255" s="2">
        <v>24</v>
      </c>
      <c r="C255" s="2" t="s">
        <v>18</v>
      </c>
      <c r="D255" s="2" t="s">
        <v>33</v>
      </c>
      <c r="E255" s="2">
        <v>2004</v>
      </c>
      <c r="F255" s="2" t="s">
        <v>65</v>
      </c>
      <c r="G255" s="2" t="s">
        <v>77</v>
      </c>
      <c r="H255" s="2">
        <v>14715</v>
      </c>
      <c r="I255" s="2">
        <v>5</v>
      </c>
      <c r="J255" s="2">
        <v>1</v>
      </c>
      <c r="K255" s="2">
        <v>1</v>
      </c>
      <c r="L255" s="2" t="s">
        <v>35</v>
      </c>
      <c r="M255" s="2">
        <v>681</v>
      </c>
      <c r="N255" s="2" t="s">
        <v>75</v>
      </c>
      <c r="O255" s="2" t="s">
        <v>43</v>
      </c>
      <c r="P255" s="2">
        <v>0</v>
      </c>
      <c r="Q255" s="2" t="s">
        <v>95</v>
      </c>
      <c r="R255" t="str">
        <f t="shared" si="3"/>
        <v>N</v>
      </c>
    </row>
    <row r="256" spans="1:18" x14ac:dyDescent="0.3">
      <c r="A256" s="1" t="s">
        <v>336</v>
      </c>
      <c r="B256" s="1">
        <v>43</v>
      </c>
      <c r="C256" s="1" t="s">
        <v>60</v>
      </c>
      <c r="D256" s="1" t="s">
        <v>85</v>
      </c>
      <c r="E256" s="1">
        <v>2012</v>
      </c>
      <c r="F256" s="1" t="s">
        <v>73</v>
      </c>
      <c r="G256" s="1" t="s">
        <v>74</v>
      </c>
      <c r="H256" s="1">
        <v>24261</v>
      </c>
      <c r="I256" s="1">
        <v>26</v>
      </c>
      <c r="J256" s="1">
        <v>0</v>
      </c>
      <c r="K256" s="1">
        <v>0</v>
      </c>
      <c r="L256" s="1" t="s">
        <v>35</v>
      </c>
      <c r="M256" s="1">
        <v>463</v>
      </c>
      <c r="N256" s="1" t="s">
        <v>22</v>
      </c>
      <c r="O256" s="1" t="s">
        <v>431</v>
      </c>
      <c r="P256" s="1">
        <v>15000</v>
      </c>
      <c r="Q256" s="1" t="s">
        <v>80</v>
      </c>
      <c r="R256" t="str">
        <f t="shared" si="3"/>
        <v>Y</v>
      </c>
    </row>
    <row r="257" spans="1:18" x14ac:dyDescent="0.3">
      <c r="A257" s="2" t="s">
        <v>337</v>
      </c>
      <c r="B257" s="2">
        <v>61</v>
      </c>
      <c r="C257" s="2" t="s">
        <v>60</v>
      </c>
      <c r="D257" s="2" t="s">
        <v>19</v>
      </c>
      <c r="E257" s="2">
        <v>2019</v>
      </c>
      <c r="F257" s="2" t="s">
        <v>46</v>
      </c>
      <c r="G257" s="2" t="s">
        <v>47</v>
      </c>
      <c r="H257" s="2">
        <v>23032</v>
      </c>
      <c r="I257" s="2">
        <v>45</v>
      </c>
      <c r="J257" s="2">
        <v>2</v>
      </c>
      <c r="K257" s="2">
        <v>3</v>
      </c>
      <c r="L257" s="2" t="s">
        <v>35</v>
      </c>
      <c r="M257" s="2">
        <v>794</v>
      </c>
      <c r="N257" s="2" t="s">
        <v>75</v>
      </c>
      <c r="O257" s="2" t="s">
        <v>67</v>
      </c>
      <c r="P257" s="2">
        <v>7500</v>
      </c>
      <c r="Q257" s="2" t="s">
        <v>126</v>
      </c>
      <c r="R257" t="str">
        <f t="shared" si="3"/>
        <v>Y</v>
      </c>
    </row>
    <row r="258" spans="1:18" x14ac:dyDescent="0.3">
      <c r="A258" s="1" t="s">
        <v>338</v>
      </c>
      <c r="B258" s="1">
        <v>20</v>
      </c>
      <c r="C258" s="1" t="s">
        <v>18</v>
      </c>
      <c r="D258" s="1" t="s">
        <v>85</v>
      </c>
      <c r="E258" s="1">
        <v>2020</v>
      </c>
      <c r="F258" s="1" t="s">
        <v>27</v>
      </c>
      <c r="G258" s="1" t="s">
        <v>28</v>
      </c>
      <c r="H258" s="1">
        <v>20197</v>
      </c>
      <c r="I258" s="1">
        <v>0</v>
      </c>
      <c r="J258" s="1">
        <v>2</v>
      </c>
      <c r="K258" s="1">
        <v>2</v>
      </c>
      <c r="L258" s="1" t="s">
        <v>35</v>
      </c>
      <c r="M258" s="1">
        <v>646</v>
      </c>
      <c r="N258" s="1" t="s">
        <v>39</v>
      </c>
      <c r="O258" s="1" t="s">
        <v>62</v>
      </c>
      <c r="P258" s="1">
        <v>0</v>
      </c>
      <c r="Q258" s="1" t="s">
        <v>48</v>
      </c>
      <c r="R258" t="str">
        <f t="shared" si="3"/>
        <v>N</v>
      </c>
    </row>
    <row r="259" spans="1:18" x14ac:dyDescent="0.3">
      <c r="A259" s="2" t="s">
        <v>339</v>
      </c>
      <c r="B259" s="2">
        <v>60</v>
      </c>
      <c r="C259" s="2" t="s">
        <v>60</v>
      </c>
      <c r="D259" s="2" t="s">
        <v>19</v>
      </c>
      <c r="E259" s="2">
        <v>2015</v>
      </c>
      <c r="F259" s="2" t="s">
        <v>27</v>
      </c>
      <c r="G259" s="2" t="s">
        <v>38</v>
      </c>
      <c r="H259" s="2">
        <v>7871</v>
      </c>
      <c r="I259" s="2">
        <v>40</v>
      </c>
      <c r="J259" s="2">
        <v>1</v>
      </c>
      <c r="K259" s="2">
        <v>0</v>
      </c>
      <c r="L259" s="2" t="s">
        <v>35</v>
      </c>
      <c r="M259" s="2">
        <v>460</v>
      </c>
      <c r="N259" s="2" t="s">
        <v>39</v>
      </c>
      <c r="O259" s="2" t="s">
        <v>23</v>
      </c>
      <c r="P259" s="2">
        <v>15000</v>
      </c>
      <c r="Q259" s="2" t="s">
        <v>98</v>
      </c>
      <c r="R259" t="str">
        <f t="shared" ref="R259:R319" si="4">IF(P259&gt;0, "Y", "N")</f>
        <v>Y</v>
      </c>
    </row>
    <row r="260" spans="1:18" x14ac:dyDescent="0.3">
      <c r="A260" s="1" t="s">
        <v>340</v>
      </c>
      <c r="B260" s="1">
        <v>22</v>
      </c>
      <c r="C260" s="1" t="s">
        <v>60</v>
      </c>
      <c r="D260" s="1" t="s">
        <v>85</v>
      </c>
      <c r="E260" s="1">
        <v>2007</v>
      </c>
      <c r="F260" s="1" t="s">
        <v>27</v>
      </c>
      <c r="G260" s="1" t="s">
        <v>38</v>
      </c>
      <c r="H260" s="1">
        <v>4649</v>
      </c>
      <c r="I260" s="1">
        <v>2</v>
      </c>
      <c r="J260" s="1">
        <v>0</v>
      </c>
      <c r="K260" s="1">
        <v>2</v>
      </c>
      <c r="L260" s="1" t="s">
        <v>29</v>
      </c>
      <c r="M260" s="1">
        <v>712</v>
      </c>
      <c r="N260" s="1" t="s">
        <v>22</v>
      </c>
      <c r="O260" s="1" t="s">
        <v>67</v>
      </c>
      <c r="P260" s="1">
        <v>15000</v>
      </c>
      <c r="Q260" s="1" t="s">
        <v>126</v>
      </c>
      <c r="R260" t="str">
        <f t="shared" si="4"/>
        <v>Y</v>
      </c>
    </row>
    <row r="261" spans="1:18" x14ac:dyDescent="0.3">
      <c r="A261" s="2" t="s">
        <v>341</v>
      </c>
      <c r="B261" s="2">
        <v>53</v>
      </c>
      <c r="C261" s="2" t="s">
        <v>18</v>
      </c>
      <c r="D261" s="2" t="s">
        <v>33</v>
      </c>
      <c r="E261" s="2">
        <v>2019</v>
      </c>
      <c r="F261" s="2" t="s">
        <v>20</v>
      </c>
      <c r="G261" s="2" t="s">
        <v>50</v>
      </c>
      <c r="H261" s="2">
        <v>19657</v>
      </c>
      <c r="I261" s="2">
        <v>33</v>
      </c>
      <c r="J261" s="2">
        <v>0</v>
      </c>
      <c r="K261" s="2">
        <v>3</v>
      </c>
      <c r="L261" s="2" t="s">
        <v>29</v>
      </c>
      <c r="M261" s="2">
        <v>649</v>
      </c>
      <c r="N261" s="2" t="s">
        <v>75</v>
      </c>
      <c r="O261" s="2" t="s">
        <v>90</v>
      </c>
      <c r="P261" s="2">
        <v>500</v>
      </c>
      <c r="Q261" s="2" t="s">
        <v>126</v>
      </c>
      <c r="R261" t="str">
        <f t="shared" si="4"/>
        <v>Y</v>
      </c>
    </row>
    <row r="262" spans="1:18" x14ac:dyDescent="0.3">
      <c r="A262" s="1" t="s">
        <v>342</v>
      </c>
      <c r="B262" s="1">
        <v>39</v>
      </c>
      <c r="C262" s="1" t="s">
        <v>60</v>
      </c>
      <c r="D262" s="1" t="s">
        <v>26</v>
      </c>
      <c r="E262" s="1">
        <v>2022</v>
      </c>
      <c r="F262" s="1" t="s">
        <v>27</v>
      </c>
      <c r="G262" s="1" t="s">
        <v>38</v>
      </c>
      <c r="H262" s="1">
        <v>6736</v>
      </c>
      <c r="I262" s="1">
        <v>23</v>
      </c>
      <c r="J262" s="1">
        <v>2</v>
      </c>
      <c r="K262" s="1">
        <v>0</v>
      </c>
      <c r="L262" s="1" t="s">
        <v>35</v>
      </c>
      <c r="M262" s="1">
        <v>649</v>
      </c>
      <c r="N262" s="1" t="s">
        <v>75</v>
      </c>
      <c r="O262" s="1" t="s">
        <v>40</v>
      </c>
      <c r="P262" s="1">
        <v>3000</v>
      </c>
      <c r="Q262" s="1" t="s">
        <v>86</v>
      </c>
      <c r="R262" t="str">
        <f t="shared" si="4"/>
        <v>Y</v>
      </c>
    </row>
    <row r="263" spans="1:18" x14ac:dyDescent="0.3">
      <c r="A263" s="2" t="s">
        <v>343</v>
      </c>
      <c r="B263" s="2">
        <v>20</v>
      </c>
      <c r="C263" s="2" t="s">
        <v>18</v>
      </c>
      <c r="D263" s="2" t="s">
        <v>26</v>
      </c>
      <c r="E263" s="2">
        <v>2004</v>
      </c>
      <c r="F263" s="2" t="s">
        <v>46</v>
      </c>
      <c r="G263" s="2" t="s">
        <v>110</v>
      </c>
      <c r="H263" s="2">
        <v>11332</v>
      </c>
      <c r="I263" s="2">
        <v>0</v>
      </c>
      <c r="J263" s="2">
        <v>0</v>
      </c>
      <c r="K263" s="2">
        <v>0</v>
      </c>
      <c r="L263" s="2" t="s">
        <v>35</v>
      </c>
      <c r="M263" s="2">
        <v>702</v>
      </c>
      <c r="N263" s="2" t="s">
        <v>22</v>
      </c>
      <c r="O263" s="2" t="s">
        <v>23</v>
      </c>
      <c r="P263" s="2">
        <v>500</v>
      </c>
      <c r="Q263" s="2" t="s">
        <v>58</v>
      </c>
      <c r="R263" t="str">
        <f t="shared" si="4"/>
        <v>Y</v>
      </c>
    </row>
    <row r="264" spans="1:18" x14ac:dyDescent="0.3">
      <c r="A264" s="1" t="s">
        <v>344</v>
      </c>
      <c r="B264" s="1">
        <v>24</v>
      </c>
      <c r="C264" s="1" t="s">
        <v>60</v>
      </c>
      <c r="D264" s="1" t="s">
        <v>33</v>
      </c>
      <c r="E264" s="1">
        <v>2020</v>
      </c>
      <c r="F264" s="1" t="s">
        <v>20</v>
      </c>
      <c r="G264" s="1" t="s">
        <v>21</v>
      </c>
      <c r="H264" s="1">
        <v>17762</v>
      </c>
      <c r="I264" s="1">
        <v>5</v>
      </c>
      <c r="J264" s="1">
        <v>2</v>
      </c>
      <c r="K264" s="1">
        <v>2</v>
      </c>
      <c r="L264" s="1" t="s">
        <v>35</v>
      </c>
      <c r="M264" s="1">
        <v>437</v>
      </c>
      <c r="N264" s="1" t="s">
        <v>75</v>
      </c>
      <c r="O264" s="1" t="s">
        <v>90</v>
      </c>
      <c r="P264" s="1">
        <v>0</v>
      </c>
      <c r="Q264" s="1" t="s">
        <v>44</v>
      </c>
      <c r="R264" t="str">
        <f t="shared" si="4"/>
        <v>N</v>
      </c>
    </row>
    <row r="265" spans="1:18" x14ac:dyDescent="0.3">
      <c r="A265" s="2" t="s">
        <v>345</v>
      </c>
      <c r="B265" s="2">
        <v>45</v>
      </c>
      <c r="C265" s="2" t="s">
        <v>60</v>
      </c>
      <c r="D265" s="2" t="s">
        <v>26</v>
      </c>
      <c r="E265" s="2">
        <v>2016</v>
      </c>
      <c r="F265" s="2" t="s">
        <v>65</v>
      </c>
      <c r="G265" s="2" t="s">
        <v>66</v>
      </c>
      <c r="H265" s="2">
        <v>21958</v>
      </c>
      <c r="I265" s="2">
        <v>28</v>
      </c>
      <c r="J265" s="2">
        <v>2</v>
      </c>
      <c r="K265" s="2">
        <v>0</v>
      </c>
      <c r="L265" s="2" t="s">
        <v>35</v>
      </c>
      <c r="M265" s="2">
        <v>696</v>
      </c>
      <c r="N265" s="2" t="s">
        <v>39</v>
      </c>
      <c r="O265" s="2" t="s">
        <v>432</v>
      </c>
      <c r="P265" s="2">
        <v>3000</v>
      </c>
      <c r="Q265" s="2" t="s">
        <v>103</v>
      </c>
      <c r="R265" t="str">
        <f t="shared" si="4"/>
        <v>Y</v>
      </c>
    </row>
    <row r="266" spans="1:18" x14ac:dyDescent="0.3">
      <c r="A266" s="1" t="s">
        <v>346</v>
      </c>
      <c r="B266" s="1">
        <v>74</v>
      </c>
      <c r="C266" s="1" t="s">
        <v>60</v>
      </c>
      <c r="D266" s="1" t="s">
        <v>26</v>
      </c>
      <c r="E266" s="1">
        <v>2019</v>
      </c>
      <c r="F266" s="1" t="s">
        <v>65</v>
      </c>
      <c r="G266" s="1" t="s">
        <v>77</v>
      </c>
      <c r="H266" s="1">
        <v>16037</v>
      </c>
      <c r="I266" s="1">
        <v>56</v>
      </c>
      <c r="J266" s="1">
        <v>0</v>
      </c>
      <c r="K266" s="1">
        <v>1</v>
      </c>
      <c r="L266" s="1" t="s">
        <v>35</v>
      </c>
      <c r="M266" s="1">
        <v>441</v>
      </c>
      <c r="N266" s="1" t="s">
        <v>75</v>
      </c>
      <c r="O266" s="1" t="s">
        <v>432</v>
      </c>
      <c r="P266" s="1">
        <v>1200</v>
      </c>
      <c r="Q266" s="1" t="s">
        <v>44</v>
      </c>
      <c r="R266" t="str">
        <f t="shared" si="4"/>
        <v>Y</v>
      </c>
    </row>
    <row r="267" spans="1:18" x14ac:dyDescent="0.3">
      <c r="A267" s="2" t="s">
        <v>347</v>
      </c>
      <c r="B267" s="2">
        <v>73</v>
      </c>
      <c r="C267" s="2" t="s">
        <v>18</v>
      </c>
      <c r="D267" s="2" t="s">
        <v>19</v>
      </c>
      <c r="E267" s="2">
        <v>2006</v>
      </c>
      <c r="F267" s="2" t="s">
        <v>65</v>
      </c>
      <c r="G267" s="2" t="s">
        <v>77</v>
      </c>
      <c r="H267" s="2">
        <v>14314</v>
      </c>
      <c r="I267" s="2">
        <v>56</v>
      </c>
      <c r="J267" s="2">
        <v>2</v>
      </c>
      <c r="K267" s="2">
        <v>3</v>
      </c>
      <c r="L267" s="2" t="s">
        <v>35</v>
      </c>
      <c r="M267" s="2">
        <v>815</v>
      </c>
      <c r="N267" s="2" t="s">
        <v>39</v>
      </c>
      <c r="O267" s="2" t="s">
        <v>30</v>
      </c>
      <c r="P267" s="2">
        <v>0</v>
      </c>
      <c r="Q267" s="2" t="s">
        <v>54</v>
      </c>
      <c r="R267" t="str">
        <f t="shared" si="4"/>
        <v>N</v>
      </c>
    </row>
    <row r="268" spans="1:18" x14ac:dyDescent="0.3">
      <c r="A268" s="1" t="s">
        <v>348</v>
      </c>
      <c r="B268" s="1">
        <v>53</v>
      </c>
      <c r="C268" s="1" t="s">
        <v>60</v>
      </c>
      <c r="D268" s="1" t="s">
        <v>26</v>
      </c>
      <c r="E268" s="1">
        <v>2021</v>
      </c>
      <c r="F268" s="1" t="s">
        <v>79</v>
      </c>
      <c r="G268" s="1" t="s">
        <v>129</v>
      </c>
      <c r="H268" s="1">
        <v>16840</v>
      </c>
      <c r="I268" s="1">
        <v>37</v>
      </c>
      <c r="J268" s="1">
        <v>1</v>
      </c>
      <c r="K268" s="1">
        <v>0</v>
      </c>
      <c r="L268" s="1" t="s">
        <v>35</v>
      </c>
      <c r="M268" s="1">
        <v>690</v>
      </c>
      <c r="N268" s="1" t="s">
        <v>22</v>
      </c>
      <c r="O268" s="1" t="s">
        <v>90</v>
      </c>
      <c r="P268" s="1">
        <v>0</v>
      </c>
      <c r="Q268" s="1" t="s">
        <v>99</v>
      </c>
      <c r="R268" t="str">
        <f t="shared" si="4"/>
        <v>N</v>
      </c>
    </row>
    <row r="269" spans="1:18" x14ac:dyDescent="0.3">
      <c r="A269" s="2" t="s">
        <v>349</v>
      </c>
      <c r="B269" s="2">
        <v>35</v>
      </c>
      <c r="C269" s="2" t="s">
        <v>18</v>
      </c>
      <c r="D269" s="2" t="s">
        <v>85</v>
      </c>
      <c r="E269" s="2">
        <v>2021</v>
      </c>
      <c r="F269" s="2" t="s">
        <v>27</v>
      </c>
      <c r="G269" s="2" t="s">
        <v>28</v>
      </c>
      <c r="H269" s="2">
        <v>5032</v>
      </c>
      <c r="I269" s="2">
        <v>17</v>
      </c>
      <c r="J269" s="2">
        <v>0</v>
      </c>
      <c r="K269" s="2">
        <v>2</v>
      </c>
      <c r="L269" s="2" t="s">
        <v>35</v>
      </c>
      <c r="M269" s="2">
        <v>667</v>
      </c>
      <c r="N269" s="2" t="s">
        <v>75</v>
      </c>
      <c r="O269" s="2" t="s">
        <v>67</v>
      </c>
      <c r="P269" s="2">
        <v>500</v>
      </c>
      <c r="Q269" s="2" t="s">
        <v>44</v>
      </c>
      <c r="R269" t="str">
        <f t="shared" si="4"/>
        <v>Y</v>
      </c>
    </row>
    <row r="270" spans="1:18" x14ac:dyDescent="0.3">
      <c r="A270" s="1" t="s">
        <v>350</v>
      </c>
      <c r="B270" s="1">
        <v>42</v>
      </c>
      <c r="C270" s="1" t="s">
        <v>18</v>
      </c>
      <c r="D270" s="1" t="s">
        <v>85</v>
      </c>
      <c r="E270" s="1">
        <v>2022</v>
      </c>
      <c r="F270" s="1" t="s">
        <v>69</v>
      </c>
      <c r="G270" s="1" t="s">
        <v>34</v>
      </c>
      <c r="H270" s="1">
        <v>15699</v>
      </c>
      <c r="I270" s="1">
        <v>23</v>
      </c>
      <c r="J270" s="1">
        <v>2</v>
      </c>
      <c r="K270" s="1">
        <v>1</v>
      </c>
      <c r="L270" s="1" t="s">
        <v>35</v>
      </c>
      <c r="M270" s="1">
        <v>355</v>
      </c>
      <c r="N270" s="1" t="s">
        <v>22</v>
      </c>
      <c r="O270" s="1" t="s">
        <v>40</v>
      </c>
      <c r="P270" s="1">
        <v>500</v>
      </c>
      <c r="Q270" s="1" t="s">
        <v>41</v>
      </c>
      <c r="R270" t="str">
        <f t="shared" si="4"/>
        <v>Y</v>
      </c>
    </row>
    <row r="271" spans="1:18" x14ac:dyDescent="0.3">
      <c r="A271" s="2" t="s">
        <v>351</v>
      </c>
      <c r="B271" s="2">
        <v>73</v>
      </c>
      <c r="C271" s="2" t="s">
        <v>60</v>
      </c>
      <c r="D271" s="2" t="s">
        <v>19</v>
      </c>
      <c r="E271" s="2">
        <v>2020</v>
      </c>
      <c r="F271" s="2" t="s">
        <v>27</v>
      </c>
      <c r="G271" s="2" t="s">
        <v>28</v>
      </c>
      <c r="H271" s="2">
        <v>9340</v>
      </c>
      <c r="I271" s="2">
        <v>55</v>
      </c>
      <c r="J271" s="2">
        <v>1</v>
      </c>
      <c r="K271" s="2">
        <v>0</v>
      </c>
      <c r="L271" s="2" t="s">
        <v>35</v>
      </c>
      <c r="M271" s="2">
        <v>491</v>
      </c>
      <c r="N271" s="2" t="s">
        <v>22</v>
      </c>
      <c r="O271" s="2" t="s">
        <v>62</v>
      </c>
      <c r="P271" s="2">
        <v>0</v>
      </c>
      <c r="Q271" s="2" t="s">
        <v>95</v>
      </c>
      <c r="R271" t="str">
        <f t="shared" si="4"/>
        <v>N</v>
      </c>
    </row>
    <row r="272" spans="1:18" x14ac:dyDescent="0.3">
      <c r="A272" s="1" t="s">
        <v>352</v>
      </c>
      <c r="B272" s="1">
        <v>20</v>
      </c>
      <c r="C272" s="1" t="s">
        <v>60</v>
      </c>
      <c r="D272" s="1" t="s">
        <v>85</v>
      </c>
      <c r="E272" s="1">
        <v>2017</v>
      </c>
      <c r="F272" s="1" t="s">
        <v>27</v>
      </c>
      <c r="G272" s="1" t="s">
        <v>28</v>
      </c>
      <c r="H272" s="1">
        <v>8273</v>
      </c>
      <c r="I272" s="1">
        <v>0</v>
      </c>
      <c r="J272" s="1">
        <v>0</v>
      </c>
      <c r="K272" s="1">
        <v>0</v>
      </c>
      <c r="L272" s="1" t="s">
        <v>29</v>
      </c>
      <c r="M272" s="1">
        <v>777</v>
      </c>
      <c r="N272" s="1" t="s">
        <v>39</v>
      </c>
      <c r="O272" s="1" t="s">
        <v>43</v>
      </c>
      <c r="P272" s="1">
        <v>0</v>
      </c>
      <c r="Q272" s="1" t="s">
        <v>105</v>
      </c>
      <c r="R272" t="str">
        <f t="shared" si="4"/>
        <v>N</v>
      </c>
    </row>
    <row r="273" spans="1:18" x14ac:dyDescent="0.3">
      <c r="A273" s="2" t="s">
        <v>353</v>
      </c>
      <c r="B273" s="2">
        <v>38</v>
      </c>
      <c r="C273" s="2" t="s">
        <v>60</v>
      </c>
      <c r="D273" s="2" t="s">
        <v>33</v>
      </c>
      <c r="E273" s="2">
        <v>2024</v>
      </c>
      <c r="F273" s="2" t="s">
        <v>20</v>
      </c>
      <c r="G273" s="2" t="s">
        <v>50</v>
      </c>
      <c r="H273" s="2">
        <v>19074</v>
      </c>
      <c r="I273" s="2">
        <v>18</v>
      </c>
      <c r="J273" s="2">
        <v>1</v>
      </c>
      <c r="K273" s="2">
        <v>1</v>
      </c>
      <c r="L273" s="2" t="s">
        <v>35</v>
      </c>
      <c r="M273" s="2">
        <v>625</v>
      </c>
      <c r="N273" s="2" t="s">
        <v>39</v>
      </c>
      <c r="O273" s="2" t="s">
        <v>36</v>
      </c>
      <c r="P273" s="2">
        <v>0</v>
      </c>
      <c r="Q273" s="2" t="s">
        <v>103</v>
      </c>
      <c r="R273" t="str">
        <f t="shared" si="4"/>
        <v>N</v>
      </c>
    </row>
    <row r="274" spans="1:18" x14ac:dyDescent="0.3">
      <c r="A274" s="1" t="s">
        <v>354</v>
      </c>
      <c r="B274" s="1">
        <v>22</v>
      </c>
      <c r="C274" s="1" t="s">
        <v>60</v>
      </c>
      <c r="D274" s="1" t="s">
        <v>19</v>
      </c>
      <c r="E274" s="1">
        <v>2013</v>
      </c>
      <c r="F274" s="1" t="s">
        <v>79</v>
      </c>
      <c r="G274" s="1" t="s">
        <v>184</v>
      </c>
      <c r="H274" s="1">
        <v>16219</v>
      </c>
      <c r="I274" s="1">
        <v>6</v>
      </c>
      <c r="J274" s="1">
        <v>0</v>
      </c>
      <c r="K274" s="1">
        <v>0</v>
      </c>
      <c r="L274" s="1" t="s">
        <v>35</v>
      </c>
      <c r="M274" s="1">
        <v>639</v>
      </c>
      <c r="N274" s="1" t="s">
        <v>75</v>
      </c>
      <c r="O274" s="1" t="s">
        <v>30</v>
      </c>
      <c r="P274" s="1">
        <v>1200</v>
      </c>
      <c r="Q274" s="1" t="s">
        <v>99</v>
      </c>
      <c r="R274" t="str">
        <f t="shared" si="4"/>
        <v>Y</v>
      </c>
    </row>
    <row r="275" spans="1:18" x14ac:dyDescent="0.3">
      <c r="A275" s="2" t="s">
        <v>355</v>
      </c>
      <c r="B275" s="2">
        <v>66</v>
      </c>
      <c r="C275" s="2" t="s">
        <v>60</v>
      </c>
      <c r="D275" s="2" t="s">
        <v>26</v>
      </c>
      <c r="E275" s="2">
        <v>2017</v>
      </c>
      <c r="F275" s="2" t="s">
        <v>69</v>
      </c>
      <c r="G275" s="2" t="s">
        <v>88</v>
      </c>
      <c r="H275" s="2">
        <v>24919</v>
      </c>
      <c r="I275" s="2">
        <v>48</v>
      </c>
      <c r="J275" s="2">
        <v>1</v>
      </c>
      <c r="K275" s="2">
        <v>0</v>
      </c>
      <c r="L275" s="2" t="s">
        <v>35</v>
      </c>
      <c r="M275" s="2">
        <v>549</v>
      </c>
      <c r="N275" s="2" t="s">
        <v>22</v>
      </c>
      <c r="O275" s="2" t="s">
        <v>30</v>
      </c>
      <c r="P275" s="2">
        <v>7500</v>
      </c>
      <c r="Q275" s="2" t="s">
        <v>86</v>
      </c>
      <c r="R275" t="str">
        <f t="shared" si="4"/>
        <v>Y</v>
      </c>
    </row>
    <row r="276" spans="1:18" x14ac:dyDescent="0.3">
      <c r="A276" s="1" t="s">
        <v>356</v>
      </c>
      <c r="B276" s="1">
        <v>42</v>
      </c>
      <c r="C276" s="1" t="s">
        <v>18</v>
      </c>
      <c r="D276" s="1" t="s">
        <v>85</v>
      </c>
      <c r="E276" s="1">
        <v>2000</v>
      </c>
      <c r="F276" s="1" t="s">
        <v>79</v>
      </c>
      <c r="G276" s="1" t="s">
        <v>129</v>
      </c>
      <c r="H276" s="1">
        <v>19852</v>
      </c>
      <c r="I276" s="1">
        <v>22</v>
      </c>
      <c r="J276" s="1">
        <v>1</v>
      </c>
      <c r="K276" s="1">
        <v>1</v>
      </c>
      <c r="L276" s="1" t="s">
        <v>35</v>
      </c>
      <c r="M276" s="1">
        <v>603</v>
      </c>
      <c r="N276" s="1" t="s">
        <v>39</v>
      </c>
      <c r="O276" s="1" t="s">
        <v>36</v>
      </c>
      <c r="P276" s="1">
        <v>3000</v>
      </c>
      <c r="Q276" s="1" t="s">
        <v>103</v>
      </c>
      <c r="R276" t="str">
        <f t="shared" si="4"/>
        <v>Y</v>
      </c>
    </row>
    <row r="277" spans="1:18" x14ac:dyDescent="0.3">
      <c r="A277" s="2" t="s">
        <v>357</v>
      </c>
      <c r="B277" s="2">
        <v>23</v>
      </c>
      <c r="C277" s="2" t="s">
        <v>18</v>
      </c>
      <c r="D277" s="2" t="s">
        <v>19</v>
      </c>
      <c r="E277" s="2">
        <v>2024</v>
      </c>
      <c r="F277" s="2" t="s">
        <v>79</v>
      </c>
      <c r="G277" s="2" t="s">
        <v>184</v>
      </c>
      <c r="H277" s="2">
        <v>3240</v>
      </c>
      <c r="I277" s="2">
        <v>7</v>
      </c>
      <c r="J277" s="2">
        <v>0</v>
      </c>
      <c r="K277" s="2">
        <v>3</v>
      </c>
      <c r="L277" s="2" t="s">
        <v>35</v>
      </c>
      <c r="M277" s="2">
        <v>734</v>
      </c>
      <c r="N277" s="2" t="s">
        <v>22</v>
      </c>
      <c r="O277" s="2" t="s">
        <v>36</v>
      </c>
      <c r="P277" s="2">
        <v>7500</v>
      </c>
      <c r="Q277" s="2" t="s">
        <v>37</v>
      </c>
      <c r="R277" t="str">
        <f t="shared" si="4"/>
        <v>Y</v>
      </c>
    </row>
    <row r="278" spans="1:18" x14ac:dyDescent="0.3">
      <c r="A278" s="1" t="s">
        <v>358</v>
      </c>
      <c r="B278" s="1">
        <v>70</v>
      </c>
      <c r="C278" s="1" t="s">
        <v>18</v>
      </c>
      <c r="D278" s="1" t="s">
        <v>85</v>
      </c>
      <c r="E278" s="1">
        <v>2013</v>
      </c>
      <c r="F278" s="1" t="s">
        <v>46</v>
      </c>
      <c r="G278" s="1" t="s">
        <v>47</v>
      </c>
      <c r="H278" s="1">
        <v>23650</v>
      </c>
      <c r="I278" s="1">
        <v>51</v>
      </c>
      <c r="J278" s="1">
        <v>1</v>
      </c>
      <c r="K278" s="1">
        <v>1</v>
      </c>
      <c r="L278" s="1" t="s">
        <v>35</v>
      </c>
      <c r="M278" s="1">
        <v>698</v>
      </c>
      <c r="N278" s="1" t="s">
        <v>39</v>
      </c>
      <c r="O278" s="1" t="s">
        <v>67</v>
      </c>
      <c r="P278" s="1">
        <v>0</v>
      </c>
      <c r="Q278" s="1" t="s">
        <v>41</v>
      </c>
      <c r="R278" t="str">
        <f t="shared" si="4"/>
        <v>N</v>
      </c>
    </row>
    <row r="279" spans="1:18" x14ac:dyDescent="0.3">
      <c r="A279" s="2" t="s">
        <v>359</v>
      </c>
      <c r="B279" s="2">
        <v>22</v>
      </c>
      <c r="C279" s="2" t="s">
        <v>60</v>
      </c>
      <c r="D279" s="2" t="s">
        <v>33</v>
      </c>
      <c r="E279" s="2">
        <v>2022</v>
      </c>
      <c r="F279" s="2" t="s">
        <v>69</v>
      </c>
      <c r="G279" s="2" t="s">
        <v>34</v>
      </c>
      <c r="H279" s="2">
        <v>19476</v>
      </c>
      <c r="I279" s="2">
        <v>6</v>
      </c>
      <c r="J279" s="2">
        <v>0</v>
      </c>
      <c r="K279" s="2">
        <v>3</v>
      </c>
      <c r="L279" s="2" t="s">
        <v>29</v>
      </c>
      <c r="M279" s="2">
        <v>388</v>
      </c>
      <c r="N279" s="2" t="s">
        <v>75</v>
      </c>
      <c r="O279" s="2" t="s">
        <v>23</v>
      </c>
      <c r="P279" s="2">
        <v>7500</v>
      </c>
      <c r="Q279" s="2" t="s">
        <v>95</v>
      </c>
      <c r="R279" t="str">
        <f t="shared" si="4"/>
        <v>Y</v>
      </c>
    </row>
    <row r="280" spans="1:18" x14ac:dyDescent="0.3">
      <c r="A280" s="1" t="s">
        <v>360</v>
      </c>
      <c r="B280" s="1">
        <v>70</v>
      </c>
      <c r="C280" s="1" t="s">
        <v>60</v>
      </c>
      <c r="D280" s="1" t="s">
        <v>33</v>
      </c>
      <c r="E280" s="1">
        <v>2015</v>
      </c>
      <c r="F280" s="1" t="s">
        <v>65</v>
      </c>
      <c r="G280" s="1" t="s">
        <v>66</v>
      </c>
      <c r="H280" s="1">
        <v>10204</v>
      </c>
      <c r="I280" s="1">
        <v>53</v>
      </c>
      <c r="J280" s="1">
        <v>2</v>
      </c>
      <c r="K280" s="1">
        <v>1</v>
      </c>
      <c r="L280" s="1" t="s">
        <v>35</v>
      </c>
      <c r="M280" s="1">
        <v>602</v>
      </c>
      <c r="N280" s="1" t="s">
        <v>39</v>
      </c>
      <c r="O280" s="1" t="s">
        <v>43</v>
      </c>
      <c r="P280" s="1">
        <v>1200</v>
      </c>
      <c r="Q280" s="1" t="s">
        <v>54</v>
      </c>
      <c r="R280" t="str">
        <f t="shared" si="4"/>
        <v>Y</v>
      </c>
    </row>
    <row r="281" spans="1:18" x14ac:dyDescent="0.3">
      <c r="A281" s="2" t="s">
        <v>361</v>
      </c>
      <c r="B281" s="2">
        <v>18</v>
      </c>
      <c r="C281" s="2" t="s">
        <v>60</v>
      </c>
      <c r="D281" s="2" t="s">
        <v>19</v>
      </c>
      <c r="E281" s="2">
        <v>2003</v>
      </c>
      <c r="F281" s="2" t="s">
        <v>69</v>
      </c>
      <c r="G281" s="2" t="s">
        <v>88</v>
      </c>
      <c r="H281" s="2">
        <v>21766</v>
      </c>
      <c r="I281" s="2">
        <v>0</v>
      </c>
      <c r="J281" s="2">
        <v>1</v>
      </c>
      <c r="K281" s="2">
        <v>2</v>
      </c>
      <c r="L281" s="2" t="s">
        <v>35</v>
      </c>
      <c r="M281" s="2">
        <v>387</v>
      </c>
      <c r="N281" s="2" t="s">
        <v>75</v>
      </c>
      <c r="O281" s="2" t="s">
        <v>36</v>
      </c>
      <c r="P281" s="2">
        <v>3000</v>
      </c>
      <c r="Q281" s="2" t="s">
        <v>99</v>
      </c>
      <c r="R281" t="str">
        <f t="shared" si="4"/>
        <v>Y</v>
      </c>
    </row>
    <row r="282" spans="1:18" x14ac:dyDescent="0.3">
      <c r="A282" s="1" t="s">
        <v>362</v>
      </c>
      <c r="B282" s="1">
        <v>44</v>
      </c>
      <c r="C282" s="1" t="s">
        <v>60</v>
      </c>
      <c r="D282" s="1" t="s">
        <v>19</v>
      </c>
      <c r="E282" s="1">
        <v>2005</v>
      </c>
      <c r="F282" s="1" t="s">
        <v>65</v>
      </c>
      <c r="G282" s="1" t="s">
        <v>61</v>
      </c>
      <c r="H282" s="1">
        <v>23214</v>
      </c>
      <c r="I282" s="1">
        <v>26</v>
      </c>
      <c r="J282" s="1">
        <v>0</v>
      </c>
      <c r="K282" s="1">
        <v>0</v>
      </c>
      <c r="L282" s="1" t="s">
        <v>35</v>
      </c>
      <c r="M282" s="1">
        <v>355</v>
      </c>
      <c r="N282" s="1" t="s">
        <v>39</v>
      </c>
      <c r="O282" s="1" t="s">
        <v>23</v>
      </c>
      <c r="P282" s="1">
        <v>0</v>
      </c>
      <c r="Q282" s="1" t="s">
        <v>51</v>
      </c>
      <c r="R282" t="str">
        <f t="shared" si="4"/>
        <v>N</v>
      </c>
    </row>
    <row r="283" spans="1:18" x14ac:dyDescent="0.3">
      <c r="A283" s="2" t="s">
        <v>363</v>
      </c>
      <c r="B283" s="2">
        <v>60</v>
      </c>
      <c r="C283" s="2" t="s">
        <v>18</v>
      </c>
      <c r="D283" s="2" t="s">
        <v>85</v>
      </c>
      <c r="E283" s="2">
        <v>2003</v>
      </c>
      <c r="F283" s="2" t="s">
        <v>65</v>
      </c>
      <c r="G283" s="2" t="s">
        <v>77</v>
      </c>
      <c r="H283" s="2">
        <v>13841</v>
      </c>
      <c r="I283" s="2">
        <v>42</v>
      </c>
      <c r="J283" s="2">
        <v>0</v>
      </c>
      <c r="K283" s="2">
        <v>3</v>
      </c>
      <c r="L283" s="2" t="s">
        <v>35</v>
      </c>
      <c r="M283" s="2">
        <v>402</v>
      </c>
      <c r="N283" s="2" t="s">
        <v>75</v>
      </c>
      <c r="O283" s="2" t="s">
        <v>432</v>
      </c>
      <c r="P283" s="2">
        <v>0</v>
      </c>
      <c r="Q283" s="2" t="s">
        <v>99</v>
      </c>
      <c r="R283" t="str">
        <f t="shared" si="4"/>
        <v>N</v>
      </c>
    </row>
    <row r="284" spans="1:18" x14ac:dyDescent="0.3">
      <c r="A284" s="1" t="s">
        <v>364</v>
      </c>
      <c r="B284" s="1">
        <v>38</v>
      </c>
      <c r="C284" s="1" t="s">
        <v>60</v>
      </c>
      <c r="D284" s="1" t="s">
        <v>26</v>
      </c>
      <c r="E284" s="1">
        <v>2010</v>
      </c>
      <c r="F284" s="1" t="s">
        <v>20</v>
      </c>
      <c r="G284" s="1" t="s">
        <v>50</v>
      </c>
      <c r="H284" s="1">
        <v>22142</v>
      </c>
      <c r="I284" s="1">
        <v>21</v>
      </c>
      <c r="J284" s="1">
        <v>1</v>
      </c>
      <c r="K284" s="1">
        <v>2</v>
      </c>
      <c r="L284" s="1" t="s">
        <v>29</v>
      </c>
      <c r="M284" s="1">
        <v>623</v>
      </c>
      <c r="N284" s="1" t="s">
        <v>75</v>
      </c>
      <c r="O284" s="1" t="s">
        <v>43</v>
      </c>
      <c r="P284" s="1">
        <v>0</v>
      </c>
      <c r="Q284" s="1" t="s">
        <v>58</v>
      </c>
      <c r="R284" t="str">
        <f t="shared" si="4"/>
        <v>N</v>
      </c>
    </row>
    <row r="285" spans="1:18" x14ac:dyDescent="0.3">
      <c r="A285" s="2" t="s">
        <v>365</v>
      </c>
      <c r="B285" s="2">
        <v>33</v>
      </c>
      <c r="C285" s="2" t="s">
        <v>18</v>
      </c>
      <c r="D285" s="2" t="s">
        <v>26</v>
      </c>
      <c r="E285" s="2">
        <v>2008</v>
      </c>
      <c r="F285" s="2" t="s">
        <v>27</v>
      </c>
      <c r="G285" s="2" t="s">
        <v>28</v>
      </c>
      <c r="H285" s="2">
        <v>13864</v>
      </c>
      <c r="I285" s="2">
        <v>14</v>
      </c>
      <c r="J285" s="2">
        <v>1</v>
      </c>
      <c r="K285" s="2">
        <v>1</v>
      </c>
      <c r="L285" s="2" t="s">
        <v>29</v>
      </c>
      <c r="M285" s="2">
        <v>612</v>
      </c>
      <c r="N285" s="2" t="s">
        <v>75</v>
      </c>
      <c r="O285" s="2" t="s">
        <v>62</v>
      </c>
      <c r="P285" s="2">
        <v>0</v>
      </c>
      <c r="Q285" s="2" t="s">
        <v>98</v>
      </c>
      <c r="R285" t="str">
        <f t="shared" si="4"/>
        <v>N</v>
      </c>
    </row>
    <row r="286" spans="1:18" x14ac:dyDescent="0.3">
      <c r="A286" s="1" t="s">
        <v>366</v>
      </c>
      <c r="B286" s="1">
        <v>59</v>
      </c>
      <c r="C286" s="1" t="s">
        <v>60</v>
      </c>
      <c r="D286" s="1" t="s">
        <v>33</v>
      </c>
      <c r="E286" s="1">
        <v>2008</v>
      </c>
      <c r="F286" s="1" t="s">
        <v>65</v>
      </c>
      <c r="G286" s="1" t="s">
        <v>66</v>
      </c>
      <c r="H286" s="1">
        <v>9436</v>
      </c>
      <c r="I286" s="1">
        <v>41</v>
      </c>
      <c r="J286" s="1">
        <v>2</v>
      </c>
      <c r="K286" s="1">
        <v>3</v>
      </c>
      <c r="L286" s="1" t="s">
        <v>35</v>
      </c>
      <c r="M286" s="1">
        <v>377</v>
      </c>
      <c r="N286" s="1" t="s">
        <v>22</v>
      </c>
      <c r="O286" s="1" t="s">
        <v>62</v>
      </c>
      <c r="P286" s="1">
        <v>0</v>
      </c>
      <c r="Q286" s="1" t="s">
        <v>80</v>
      </c>
      <c r="R286" t="str">
        <f t="shared" si="4"/>
        <v>N</v>
      </c>
    </row>
    <row r="287" spans="1:18" x14ac:dyDescent="0.3">
      <c r="A287" s="2" t="s">
        <v>367</v>
      </c>
      <c r="B287" s="2">
        <v>55</v>
      </c>
      <c r="C287" s="2" t="s">
        <v>60</v>
      </c>
      <c r="D287" s="2" t="s">
        <v>19</v>
      </c>
      <c r="E287" s="2">
        <v>2001</v>
      </c>
      <c r="F287" s="2" t="s">
        <v>79</v>
      </c>
      <c r="G287" s="2" t="s">
        <v>129</v>
      </c>
      <c r="H287" s="2">
        <v>20808</v>
      </c>
      <c r="I287" s="2">
        <v>35</v>
      </c>
      <c r="J287" s="2">
        <v>1</v>
      </c>
      <c r="K287" s="2">
        <v>3</v>
      </c>
      <c r="L287" s="2" t="s">
        <v>35</v>
      </c>
      <c r="M287" s="2">
        <v>674</v>
      </c>
      <c r="N287" s="2" t="s">
        <v>75</v>
      </c>
      <c r="O287" s="2" t="s">
        <v>36</v>
      </c>
      <c r="P287" s="2">
        <v>1200</v>
      </c>
      <c r="Q287" s="2" t="s">
        <v>105</v>
      </c>
      <c r="R287" t="str">
        <f t="shared" si="4"/>
        <v>Y</v>
      </c>
    </row>
    <row r="288" spans="1:18" x14ac:dyDescent="0.3">
      <c r="A288" s="1" t="s">
        <v>368</v>
      </c>
      <c r="B288" s="1">
        <v>54</v>
      </c>
      <c r="C288" s="1" t="s">
        <v>60</v>
      </c>
      <c r="D288" s="1" t="s">
        <v>19</v>
      </c>
      <c r="E288" s="1">
        <v>2023</v>
      </c>
      <c r="F288" s="1" t="s">
        <v>73</v>
      </c>
      <c r="G288" s="1" t="s">
        <v>74</v>
      </c>
      <c r="H288" s="1">
        <v>4324</v>
      </c>
      <c r="I288" s="1">
        <v>37</v>
      </c>
      <c r="J288" s="1">
        <v>1</v>
      </c>
      <c r="K288" s="1">
        <v>0</v>
      </c>
      <c r="L288" s="1" t="s">
        <v>35</v>
      </c>
      <c r="M288" s="1">
        <v>570</v>
      </c>
      <c r="N288" s="1" t="s">
        <v>75</v>
      </c>
      <c r="O288" s="1" t="s">
        <v>36</v>
      </c>
      <c r="P288" s="1">
        <v>0</v>
      </c>
      <c r="Q288" s="1" t="s">
        <v>99</v>
      </c>
      <c r="R288" t="str">
        <f t="shared" si="4"/>
        <v>N</v>
      </c>
    </row>
    <row r="289" spans="1:18" x14ac:dyDescent="0.3">
      <c r="A289" s="2" t="s">
        <v>369</v>
      </c>
      <c r="B289" s="2">
        <v>51</v>
      </c>
      <c r="C289" s="2" t="s">
        <v>18</v>
      </c>
      <c r="D289" s="2" t="s">
        <v>26</v>
      </c>
      <c r="E289" s="2">
        <v>2015</v>
      </c>
      <c r="F289" s="2" t="s">
        <v>73</v>
      </c>
      <c r="G289" s="2" t="s">
        <v>117</v>
      </c>
      <c r="H289" s="2">
        <v>4307</v>
      </c>
      <c r="I289" s="2">
        <v>33</v>
      </c>
      <c r="J289" s="2">
        <v>0</v>
      </c>
      <c r="K289" s="2">
        <v>3</v>
      </c>
      <c r="L289" s="2" t="s">
        <v>35</v>
      </c>
      <c r="M289" s="2">
        <v>580</v>
      </c>
      <c r="N289" s="2" t="s">
        <v>39</v>
      </c>
      <c r="O289" s="2" t="s">
        <v>40</v>
      </c>
      <c r="P289" s="2">
        <v>0</v>
      </c>
      <c r="Q289" s="2" t="s">
        <v>95</v>
      </c>
      <c r="R289" t="str">
        <f t="shared" si="4"/>
        <v>N</v>
      </c>
    </row>
    <row r="290" spans="1:18" x14ac:dyDescent="0.3">
      <c r="A290" s="1" t="s">
        <v>370</v>
      </c>
      <c r="B290" s="1">
        <v>59</v>
      </c>
      <c r="C290" s="1" t="s">
        <v>60</v>
      </c>
      <c r="D290" s="1" t="s">
        <v>85</v>
      </c>
      <c r="E290" s="1">
        <v>2018</v>
      </c>
      <c r="F290" s="1" t="s">
        <v>69</v>
      </c>
      <c r="G290" s="1" t="s">
        <v>34</v>
      </c>
      <c r="H290" s="1">
        <v>15331</v>
      </c>
      <c r="I290" s="1">
        <v>42</v>
      </c>
      <c r="J290" s="1">
        <v>1</v>
      </c>
      <c r="K290" s="1">
        <v>1</v>
      </c>
      <c r="L290" s="1" t="s">
        <v>29</v>
      </c>
      <c r="M290" s="1">
        <v>653</v>
      </c>
      <c r="N290" s="1" t="s">
        <v>75</v>
      </c>
      <c r="O290" s="1" t="s">
        <v>23</v>
      </c>
      <c r="P290" s="1">
        <v>0</v>
      </c>
      <c r="Q290" s="1" t="s">
        <v>103</v>
      </c>
      <c r="R290" t="str">
        <f t="shared" si="4"/>
        <v>N</v>
      </c>
    </row>
    <row r="291" spans="1:18" x14ac:dyDescent="0.3">
      <c r="A291" s="2" t="s">
        <v>371</v>
      </c>
      <c r="B291" s="2">
        <v>74</v>
      </c>
      <c r="C291" s="2" t="s">
        <v>18</v>
      </c>
      <c r="D291" s="2" t="s">
        <v>26</v>
      </c>
      <c r="E291" s="2">
        <v>2005</v>
      </c>
      <c r="F291" s="2" t="s">
        <v>65</v>
      </c>
      <c r="G291" s="2" t="s">
        <v>61</v>
      </c>
      <c r="H291" s="2">
        <v>19860</v>
      </c>
      <c r="I291" s="2">
        <v>56</v>
      </c>
      <c r="J291" s="2">
        <v>0</v>
      </c>
      <c r="K291" s="2">
        <v>0</v>
      </c>
      <c r="L291" s="2" t="s">
        <v>35</v>
      </c>
      <c r="M291" s="2">
        <v>461</v>
      </c>
      <c r="N291" s="2" t="s">
        <v>75</v>
      </c>
      <c r="O291" s="2" t="s">
        <v>432</v>
      </c>
      <c r="P291" s="2">
        <v>0</v>
      </c>
      <c r="Q291" s="2" t="s">
        <v>142</v>
      </c>
      <c r="R291" t="str">
        <f t="shared" si="4"/>
        <v>N</v>
      </c>
    </row>
    <row r="292" spans="1:18" x14ac:dyDescent="0.3">
      <c r="A292" s="1" t="s">
        <v>372</v>
      </c>
      <c r="B292" s="1">
        <v>44</v>
      </c>
      <c r="C292" s="1" t="s">
        <v>18</v>
      </c>
      <c r="D292" s="1" t="s">
        <v>33</v>
      </c>
      <c r="E292" s="1">
        <v>2015</v>
      </c>
      <c r="F292" s="1" t="s">
        <v>73</v>
      </c>
      <c r="G292" s="1" t="s">
        <v>74</v>
      </c>
      <c r="H292" s="1">
        <v>9904</v>
      </c>
      <c r="I292" s="1">
        <v>24</v>
      </c>
      <c r="J292" s="1">
        <v>0</v>
      </c>
      <c r="K292" s="1">
        <v>3</v>
      </c>
      <c r="L292" s="1" t="s">
        <v>29</v>
      </c>
      <c r="M292" s="1">
        <v>322</v>
      </c>
      <c r="N292" s="1" t="s">
        <v>22</v>
      </c>
      <c r="O292" s="1" t="s">
        <v>90</v>
      </c>
      <c r="P292" s="1">
        <v>0</v>
      </c>
      <c r="Q292" s="1" t="s">
        <v>80</v>
      </c>
      <c r="R292" t="str">
        <f t="shared" si="4"/>
        <v>N</v>
      </c>
    </row>
    <row r="293" spans="1:18" x14ac:dyDescent="0.3">
      <c r="A293" s="2" t="s">
        <v>373</v>
      </c>
      <c r="B293" s="2">
        <v>55</v>
      </c>
      <c r="C293" s="2" t="s">
        <v>18</v>
      </c>
      <c r="D293" s="2" t="s">
        <v>19</v>
      </c>
      <c r="E293" s="2">
        <v>2020</v>
      </c>
      <c r="F293" s="2" t="s">
        <v>79</v>
      </c>
      <c r="G293" s="2" t="s">
        <v>56</v>
      </c>
      <c r="H293" s="2">
        <v>21752</v>
      </c>
      <c r="I293" s="2">
        <v>38</v>
      </c>
      <c r="J293" s="2">
        <v>0</v>
      </c>
      <c r="K293" s="2">
        <v>0</v>
      </c>
      <c r="L293" s="2" t="s">
        <v>29</v>
      </c>
      <c r="M293" s="2">
        <v>484</v>
      </c>
      <c r="N293" s="2" t="s">
        <v>39</v>
      </c>
      <c r="O293" s="2" t="s">
        <v>431</v>
      </c>
      <c r="P293" s="2">
        <v>0</v>
      </c>
      <c r="Q293" s="2" t="s">
        <v>51</v>
      </c>
      <c r="R293" t="str">
        <f t="shared" si="4"/>
        <v>N</v>
      </c>
    </row>
    <row r="294" spans="1:18" x14ac:dyDescent="0.3">
      <c r="A294" s="1" t="s">
        <v>374</v>
      </c>
      <c r="B294" s="1">
        <v>23</v>
      </c>
      <c r="C294" s="1" t="s">
        <v>18</v>
      </c>
      <c r="D294" s="1" t="s">
        <v>26</v>
      </c>
      <c r="E294" s="1">
        <v>2019</v>
      </c>
      <c r="F294" s="1" t="s">
        <v>73</v>
      </c>
      <c r="G294" s="1" t="s">
        <v>74</v>
      </c>
      <c r="H294" s="1">
        <v>8589</v>
      </c>
      <c r="I294" s="1">
        <v>6</v>
      </c>
      <c r="J294" s="1">
        <v>1</v>
      </c>
      <c r="K294" s="1">
        <v>2</v>
      </c>
      <c r="L294" s="1" t="s">
        <v>35</v>
      </c>
      <c r="M294" s="1">
        <v>486</v>
      </c>
      <c r="N294" s="1" t="s">
        <v>39</v>
      </c>
      <c r="O294" s="1" t="s">
        <v>62</v>
      </c>
      <c r="P294" s="1">
        <v>1200</v>
      </c>
      <c r="Q294" s="1" t="s">
        <v>98</v>
      </c>
      <c r="R294" t="str">
        <f t="shared" si="4"/>
        <v>Y</v>
      </c>
    </row>
    <row r="295" spans="1:18" x14ac:dyDescent="0.3">
      <c r="A295" s="2" t="s">
        <v>375</v>
      </c>
      <c r="B295" s="2">
        <v>64</v>
      </c>
      <c r="C295" s="2" t="s">
        <v>60</v>
      </c>
      <c r="D295" s="2" t="s">
        <v>85</v>
      </c>
      <c r="E295" s="2">
        <v>2014</v>
      </c>
      <c r="F295" s="2" t="s">
        <v>20</v>
      </c>
      <c r="G295" s="2" t="s">
        <v>21</v>
      </c>
      <c r="H295" s="2">
        <v>10530</v>
      </c>
      <c r="I295" s="2">
        <v>45</v>
      </c>
      <c r="J295" s="2">
        <v>1</v>
      </c>
      <c r="K295" s="2">
        <v>0</v>
      </c>
      <c r="L295" s="2" t="s">
        <v>35</v>
      </c>
      <c r="M295" s="2">
        <v>316</v>
      </c>
      <c r="N295" s="2" t="s">
        <v>22</v>
      </c>
      <c r="O295" s="2" t="s">
        <v>62</v>
      </c>
      <c r="P295" s="2">
        <v>7500</v>
      </c>
      <c r="Q295" s="2" t="s">
        <v>105</v>
      </c>
      <c r="R295" t="str">
        <f t="shared" si="4"/>
        <v>Y</v>
      </c>
    </row>
    <row r="296" spans="1:18" x14ac:dyDescent="0.3">
      <c r="A296" s="1" t="s">
        <v>376</v>
      </c>
      <c r="B296" s="1">
        <v>56</v>
      </c>
      <c r="C296" s="1" t="s">
        <v>18</v>
      </c>
      <c r="D296" s="1" t="s">
        <v>19</v>
      </c>
      <c r="E296" s="1">
        <v>2015</v>
      </c>
      <c r="F296" s="1" t="s">
        <v>20</v>
      </c>
      <c r="G296" s="1" t="s">
        <v>21</v>
      </c>
      <c r="H296" s="1">
        <v>20413</v>
      </c>
      <c r="I296" s="1">
        <v>36</v>
      </c>
      <c r="J296" s="1">
        <v>0</v>
      </c>
      <c r="K296" s="1">
        <v>0</v>
      </c>
      <c r="L296" s="1" t="s">
        <v>29</v>
      </c>
      <c r="M296" s="1">
        <v>433</v>
      </c>
      <c r="N296" s="1" t="s">
        <v>39</v>
      </c>
      <c r="O296" s="1" t="s">
        <v>62</v>
      </c>
      <c r="P296" s="1">
        <v>0</v>
      </c>
      <c r="Q296" s="1" t="s">
        <v>48</v>
      </c>
      <c r="R296" t="str">
        <f t="shared" si="4"/>
        <v>N</v>
      </c>
    </row>
    <row r="297" spans="1:18" x14ac:dyDescent="0.3">
      <c r="A297" s="2" t="s">
        <v>377</v>
      </c>
      <c r="B297" s="2">
        <v>51</v>
      </c>
      <c r="C297" s="2" t="s">
        <v>60</v>
      </c>
      <c r="D297" s="2" t="s">
        <v>85</v>
      </c>
      <c r="E297" s="2">
        <v>2001</v>
      </c>
      <c r="F297" s="2" t="s">
        <v>79</v>
      </c>
      <c r="G297" s="2" t="s">
        <v>129</v>
      </c>
      <c r="H297" s="2">
        <v>10519</v>
      </c>
      <c r="I297" s="2">
        <v>32</v>
      </c>
      <c r="J297" s="2">
        <v>1</v>
      </c>
      <c r="K297" s="2">
        <v>1</v>
      </c>
      <c r="L297" s="2" t="s">
        <v>35</v>
      </c>
      <c r="M297" s="2">
        <v>400</v>
      </c>
      <c r="N297" s="2" t="s">
        <v>75</v>
      </c>
      <c r="O297" s="2" t="s">
        <v>43</v>
      </c>
      <c r="P297" s="2">
        <v>1200</v>
      </c>
      <c r="Q297" s="2" t="s">
        <v>108</v>
      </c>
      <c r="R297" t="str">
        <f t="shared" si="4"/>
        <v>Y</v>
      </c>
    </row>
    <row r="298" spans="1:18" x14ac:dyDescent="0.3">
      <c r="A298" s="1" t="s">
        <v>378</v>
      </c>
      <c r="B298" s="1">
        <v>67</v>
      </c>
      <c r="C298" s="1" t="s">
        <v>18</v>
      </c>
      <c r="D298" s="1" t="s">
        <v>33</v>
      </c>
      <c r="E298" s="1">
        <v>2009</v>
      </c>
      <c r="F298" s="1" t="s">
        <v>20</v>
      </c>
      <c r="G298" s="1" t="s">
        <v>50</v>
      </c>
      <c r="H298" s="1">
        <v>11447</v>
      </c>
      <c r="I298" s="1">
        <v>50</v>
      </c>
      <c r="J298" s="1">
        <v>0</v>
      </c>
      <c r="K298" s="1">
        <v>3</v>
      </c>
      <c r="L298" s="1" t="s">
        <v>35</v>
      </c>
      <c r="M298" s="1">
        <v>835</v>
      </c>
      <c r="N298" s="1" t="s">
        <v>22</v>
      </c>
      <c r="O298" s="1" t="s">
        <v>62</v>
      </c>
      <c r="P298" s="1">
        <v>0</v>
      </c>
      <c r="Q298" s="1" t="s">
        <v>95</v>
      </c>
      <c r="R298" t="str">
        <f t="shared" si="4"/>
        <v>N</v>
      </c>
    </row>
    <row r="299" spans="1:18" x14ac:dyDescent="0.3">
      <c r="A299" s="2" t="s">
        <v>379</v>
      </c>
      <c r="B299" s="2">
        <v>59</v>
      </c>
      <c r="C299" s="2" t="s">
        <v>18</v>
      </c>
      <c r="D299" s="2" t="s">
        <v>85</v>
      </c>
      <c r="E299" s="2">
        <v>2013</v>
      </c>
      <c r="F299" s="2" t="s">
        <v>27</v>
      </c>
      <c r="G299" s="2" t="s">
        <v>28</v>
      </c>
      <c r="H299" s="2">
        <v>8071</v>
      </c>
      <c r="I299" s="2">
        <v>40</v>
      </c>
      <c r="J299" s="2">
        <v>2</v>
      </c>
      <c r="K299" s="2">
        <v>2</v>
      </c>
      <c r="L299" s="2" t="s">
        <v>29</v>
      </c>
      <c r="M299" s="2">
        <v>567</v>
      </c>
      <c r="N299" s="2" t="s">
        <v>39</v>
      </c>
      <c r="O299" s="2" t="s">
        <v>431</v>
      </c>
      <c r="P299" s="2">
        <v>3000</v>
      </c>
      <c r="Q299" s="2" t="s">
        <v>41</v>
      </c>
      <c r="R299" t="str">
        <f t="shared" si="4"/>
        <v>Y</v>
      </c>
    </row>
    <row r="300" spans="1:18" x14ac:dyDescent="0.3">
      <c r="A300" s="1" t="s">
        <v>380</v>
      </c>
      <c r="B300" s="1">
        <v>35</v>
      </c>
      <c r="C300" s="1" t="s">
        <v>60</v>
      </c>
      <c r="D300" s="1" t="s">
        <v>26</v>
      </c>
      <c r="E300" s="1">
        <v>2024</v>
      </c>
      <c r="F300" s="1" t="s">
        <v>65</v>
      </c>
      <c r="G300" s="1" t="s">
        <v>77</v>
      </c>
      <c r="H300" s="1">
        <v>21091</v>
      </c>
      <c r="I300" s="1">
        <v>15</v>
      </c>
      <c r="J300" s="1">
        <v>1</v>
      </c>
      <c r="K300" s="1">
        <v>0</v>
      </c>
      <c r="L300" s="1" t="s">
        <v>29</v>
      </c>
      <c r="M300" s="1">
        <v>795</v>
      </c>
      <c r="N300" s="1" t="s">
        <v>75</v>
      </c>
      <c r="O300" s="1" t="s">
        <v>40</v>
      </c>
      <c r="P300" s="1">
        <v>3000</v>
      </c>
      <c r="Q300" s="1" t="s">
        <v>95</v>
      </c>
      <c r="R300" t="str">
        <f t="shared" si="4"/>
        <v>Y</v>
      </c>
    </row>
    <row r="301" spans="1:18" x14ac:dyDescent="0.3">
      <c r="A301" s="2" t="s">
        <v>381</v>
      </c>
      <c r="B301" s="2">
        <v>65</v>
      </c>
      <c r="C301" s="2" t="s">
        <v>18</v>
      </c>
      <c r="D301" s="2" t="s">
        <v>33</v>
      </c>
      <c r="E301" s="2">
        <v>2023</v>
      </c>
      <c r="F301" s="2" t="s">
        <v>65</v>
      </c>
      <c r="G301" s="2" t="s">
        <v>77</v>
      </c>
      <c r="H301" s="2">
        <v>8301</v>
      </c>
      <c r="I301" s="2">
        <v>49</v>
      </c>
      <c r="J301" s="2">
        <v>0</v>
      </c>
      <c r="K301" s="2">
        <v>2</v>
      </c>
      <c r="L301" s="2" t="s">
        <v>29</v>
      </c>
      <c r="M301" s="2">
        <v>646</v>
      </c>
      <c r="N301" s="2" t="s">
        <v>39</v>
      </c>
      <c r="O301" s="2" t="s">
        <v>432</v>
      </c>
      <c r="P301" s="2">
        <v>0</v>
      </c>
      <c r="Q301" s="2" t="s">
        <v>98</v>
      </c>
      <c r="R301" t="str">
        <f t="shared" si="4"/>
        <v>N</v>
      </c>
    </row>
    <row r="302" spans="1:18" x14ac:dyDescent="0.3">
      <c r="A302" s="1" t="s">
        <v>382</v>
      </c>
      <c r="B302" s="1">
        <v>42</v>
      </c>
      <c r="C302" s="1" t="s">
        <v>60</v>
      </c>
      <c r="D302" s="1" t="s">
        <v>33</v>
      </c>
      <c r="E302" s="1">
        <v>2002</v>
      </c>
      <c r="F302" s="1" t="s">
        <v>65</v>
      </c>
      <c r="G302" s="1" t="s">
        <v>77</v>
      </c>
      <c r="H302" s="1">
        <v>22668</v>
      </c>
      <c r="I302" s="1">
        <v>23</v>
      </c>
      <c r="J302" s="1">
        <v>0</v>
      </c>
      <c r="K302" s="1">
        <v>0</v>
      </c>
      <c r="L302" s="1" t="s">
        <v>29</v>
      </c>
      <c r="M302" s="1">
        <v>527</v>
      </c>
      <c r="N302" s="1" t="s">
        <v>75</v>
      </c>
      <c r="O302" s="1" t="s">
        <v>67</v>
      </c>
      <c r="P302" s="1">
        <v>0</v>
      </c>
      <c r="Q302" s="1" t="s">
        <v>95</v>
      </c>
      <c r="R302" t="str">
        <f t="shared" si="4"/>
        <v>N</v>
      </c>
    </row>
    <row r="303" spans="1:18" x14ac:dyDescent="0.3">
      <c r="A303" s="2" t="s">
        <v>383</v>
      </c>
      <c r="B303" s="2">
        <v>43</v>
      </c>
      <c r="C303" s="2" t="s">
        <v>60</v>
      </c>
      <c r="D303" s="2" t="s">
        <v>85</v>
      </c>
      <c r="E303" s="2">
        <v>2022</v>
      </c>
      <c r="F303" s="2" t="s">
        <v>20</v>
      </c>
      <c r="G303" s="2" t="s">
        <v>21</v>
      </c>
      <c r="H303" s="2">
        <v>8743</v>
      </c>
      <c r="I303" s="2">
        <v>24</v>
      </c>
      <c r="J303" s="2">
        <v>1</v>
      </c>
      <c r="K303" s="2">
        <v>0</v>
      </c>
      <c r="L303" s="2" t="s">
        <v>35</v>
      </c>
      <c r="M303" s="2">
        <v>830</v>
      </c>
      <c r="N303" s="2" t="s">
        <v>75</v>
      </c>
      <c r="O303" s="2" t="s">
        <v>36</v>
      </c>
      <c r="P303" s="2">
        <v>0</v>
      </c>
      <c r="Q303" s="2" t="s">
        <v>41</v>
      </c>
      <c r="R303" t="str">
        <f t="shared" si="4"/>
        <v>N</v>
      </c>
    </row>
    <row r="304" spans="1:18" x14ac:dyDescent="0.3">
      <c r="A304" s="1" t="s">
        <v>384</v>
      </c>
      <c r="B304" s="1">
        <v>50</v>
      </c>
      <c r="C304" s="1" t="s">
        <v>60</v>
      </c>
      <c r="D304" s="1" t="s">
        <v>19</v>
      </c>
      <c r="E304" s="1">
        <v>2019</v>
      </c>
      <c r="F304" s="1" t="s">
        <v>65</v>
      </c>
      <c r="G304" s="1" t="s">
        <v>66</v>
      </c>
      <c r="H304" s="1">
        <v>4181</v>
      </c>
      <c r="I304" s="1">
        <v>32</v>
      </c>
      <c r="J304" s="1">
        <v>0</v>
      </c>
      <c r="K304" s="1">
        <v>3</v>
      </c>
      <c r="L304" s="1" t="s">
        <v>35</v>
      </c>
      <c r="M304" s="1">
        <v>461</v>
      </c>
      <c r="N304" s="1" t="s">
        <v>22</v>
      </c>
      <c r="O304" s="1" t="s">
        <v>40</v>
      </c>
      <c r="P304" s="1">
        <v>7500</v>
      </c>
      <c r="Q304" s="1" t="s">
        <v>54</v>
      </c>
      <c r="R304" t="str">
        <f t="shared" si="4"/>
        <v>Y</v>
      </c>
    </row>
    <row r="305" spans="1:18" x14ac:dyDescent="0.3">
      <c r="A305" s="2" t="s">
        <v>385</v>
      </c>
      <c r="B305" s="2">
        <v>19</v>
      </c>
      <c r="C305" s="2" t="s">
        <v>60</v>
      </c>
      <c r="D305" s="2" t="s">
        <v>26</v>
      </c>
      <c r="E305" s="2">
        <v>2018</v>
      </c>
      <c r="F305" s="2" t="s">
        <v>65</v>
      </c>
      <c r="G305" s="2" t="s">
        <v>61</v>
      </c>
      <c r="H305" s="2">
        <v>5248</v>
      </c>
      <c r="I305" s="2">
        <v>24</v>
      </c>
      <c r="J305" s="2">
        <v>1</v>
      </c>
      <c r="K305" s="2">
        <v>1</v>
      </c>
      <c r="L305" s="2" t="s">
        <v>35</v>
      </c>
      <c r="M305" s="2">
        <v>656</v>
      </c>
      <c r="N305" s="2" t="s">
        <v>75</v>
      </c>
      <c r="O305" s="2" t="s">
        <v>40</v>
      </c>
      <c r="P305" s="2">
        <v>500</v>
      </c>
      <c r="Q305" s="2" t="s">
        <v>41</v>
      </c>
      <c r="R305" t="str">
        <f t="shared" si="4"/>
        <v>Y</v>
      </c>
    </row>
    <row r="306" spans="1:18" x14ac:dyDescent="0.3">
      <c r="A306" s="1" t="s">
        <v>386</v>
      </c>
      <c r="B306" s="1">
        <v>30</v>
      </c>
      <c r="C306" s="1" t="s">
        <v>60</v>
      </c>
      <c r="D306" s="1" t="s">
        <v>26</v>
      </c>
      <c r="E306" s="1">
        <v>2018</v>
      </c>
      <c r="F306" s="1" t="s">
        <v>69</v>
      </c>
      <c r="G306" s="1" t="s">
        <v>34</v>
      </c>
      <c r="H306" s="1">
        <v>8735</v>
      </c>
      <c r="I306" s="1">
        <v>11</v>
      </c>
      <c r="J306" s="1">
        <v>1</v>
      </c>
      <c r="K306" s="1">
        <v>0</v>
      </c>
      <c r="L306" s="1" t="s">
        <v>35</v>
      </c>
      <c r="M306" s="1">
        <v>374</v>
      </c>
      <c r="N306" s="1" t="s">
        <v>39</v>
      </c>
      <c r="O306" s="1" t="s">
        <v>40</v>
      </c>
      <c r="P306" s="1">
        <v>3000</v>
      </c>
      <c r="Q306" s="1" t="s">
        <v>86</v>
      </c>
      <c r="R306" t="str">
        <f t="shared" si="4"/>
        <v>Y</v>
      </c>
    </row>
    <row r="307" spans="1:18" x14ac:dyDescent="0.3">
      <c r="A307" s="2" t="s">
        <v>387</v>
      </c>
      <c r="B307" s="2">
        <v>69</v>
      </c>
      <c r="C307" s="2" t="s">
        <v>60</v>
      </c>
      <c r="D307" s="2" t="s">
        <v>85</v>
      </c>
      <c r="E307" s="2">
        <v>2017</v>
      </c>
      <c r="F307" s="2" t="s">
        <v>20</v>
      </c>
      <c r="G307" s="2" t="s">
        <v>50</v>
      </c>
      <c r="H307" s="2">
        <v>17508</v>
      </c>
      <c r="I307" s="2">
        <v>50</v>
      </c>
      <c r="J307" s="2">
        <v>1</v>
      </c>
      <c r="K307" s="2">
        <v>1</v>
      </c>
      <c r="L307" s="2" t="s">
        <v>35</v>
      </c>
      <c r="M307" s="2">
        <v>647</v>
      </c>
      <c r="N307" s="2" t="s">
        <v>75</v>
      </c>
      <c r="O307" s="2" t="s">
        <v>23</v>
      </c>
      <c r="P307" s="2">
        <v>0</v>
      </c>
      <c r="Q307" s="2" t="s">
        <v>108</v>
      </c>
      <c r="R307" t="str">
        <f t="shared" si="4"/>
        <v>N</v>
      </c>
    </row>
    <row r="308" spans="1:18" x14ac:dyDescent="0.3">
      <c r="A308" s="1" t="s">
        <v>388</v>
      </c>
      <c r="B308" s="1">
        <v>25</v>
      </c>
      <c r="C308" s="1" t="s">
        <v>18</v>
      </c>
      <c r="D308" s="1" t="s">
        <v>33</v>
      </c>
      <c r="E308" s="1">
        <v>2012</v>
      </c>
      <c r="F308" s="1" t="s">
        <v>65</v>
      </c>
      <c r="G308" s="1" t="s">
        <v>61</v>
      </c>
      <c r="H308" s="1">
        <v>13345</v>
      </c>
      <c r="I308" s="1">
        <v>6</v>
      </c>
      <c r="J308" s="1">
        <v>0</v>
      </c>
      <c r="K308" s="1">
        <v>2</v>
      </c>
      <c r="L308" s="1" t="s">
        <v>35</v>
      </c>
      <c r="M308" s="1">
        <v>309</v>
      </c>
      <c r="N308" s="1" t="s">
        <v>39</v>
      </c>
      <c r="O308" s="1" t="s">
        <v>40</v>
      </c>
      <c r="P308" s="1">
        <v>500</v>
      </c>
      <c r="Q308" s="1" t="s">
        <v>51</v>
      </c>
      <c r="R308" t="str">
        <f t="shared" si="4"/>
        <v>Y</v>
      </c>
    </row>
    <row r="309" spans="1:18" x14ac:dyDescent="0.3">
      <c r="A309" s="2" t="s">
        <v>389</v>
      </c>
      <c r="B309" s="2">
        <v>23</v>
      </c>
      <c r="C309" s="2" t="s">
        <v>60</v>
      </c>
      <c r="D309" s="2" t="s">
        <v>85</v>
      </c>
      <c r="E309" s="2">
        <v>2002</v>
      </c>
      <c r="F309" s="2" t="s">
        <v>79</v>
      </c>
      <c r="G309" s="2" t="s">
        <v>56</v>
      </c>
      <c r="H309" s="2">
        <v>18615</v>
      </c>
      <c r="I309" s="2">
        <v>5</v>
      </c>
      <c r="J309" s="2">
        <v>0</v>
      </c>
      <c r="K309" s="2">
        <v>0</v>
      </c>
      <c r="L309" s="2" t="s">
        <v>35</v>
      </c>
      <c r="M309" s="2">
        <v>575</v>
      </c>
      <c r="N309" s="2" t="s">
        <v>22</v>
      </c>
      <c r="O309" s="2" t="s">
        <v>36</v>
      </c>
      <c r="P309" s="2">
        <v>15000</v>
      </c>
      <c r="Q309" s="2" t="s">
        <v>99</v>
      </c>
      <c r="R309" t="str">
        <f t="shared" si="4"/>
        <v>Y</v>
      </c>
    </row>
    <row r="310" spans="1:18" x14ac:dyDescent="0.3">
      <c r="A310" s="1" t="s">
        <v>390</v>
      </c>
      <c r="B310" s="1">
        <v>33</v>
      </c>
      <c r="C310" s="1" t="s">
        <v>60</v>
      </c>
      <c r="D310" s="1" t="s">
        <v>19</v>
      </c>
      <c r="E310" s="1">
        <v>2008</v>
      </c>
      <c r="F310" s="1" t="s">
        <v>65</v>
      </c>
      <c r="G310" s="1" t="s">
        <v>61</v>
      </c>
      <c r="H310" s="1">
        <v>9644</v>
      </c>
      <c r="I310" s="1">
        <v>16</v>
      </c>
      <c r="J310" s="1">
        <v>1</v>
      </c>
      <c r="K310" s="1">
        <v>1</v>
      </c>
      <c r="L310" s="1" t="s">
        <v>35</v>
      </c>
      <c r="M310" s="1">
        <v>409</v>
      </c>
      <c r="N310" s="1" t="s">
        <v>22</v>
      </c>
      <c r="O310" s="1" t="s">
        <v>67</v>
      </c>
      <c r="P310" s="1">
        <v>15000</v>
      </c>
      <c r="Q310" s="1" t="s">
        <v>41</v>
      </c>
      <c r="R310" t="str">
        <f t="shared" si="4"/>
        <v>Y</v>
      </c>
    </row>
    <row r="311" spans="1:18" x14ac:dyDescent="0.3">
      <c r="A311" s="2" t="s">
        <v>391</v>
      </c>
      <c r="B311" s="2">
        <v>18</v>
      </c>
      <c r="C311" s="2" t="s">
        <v>60</v>
      </c>
      <c r="D311" s="2" t="s">
        <v>33</v>
      </c>
      <c r="E311" s="2">
        <v>2015</v>
      </c>
      <c r="F311" s="2" t="s">
        <v>27</v>
      </c>
      <c r="G311" s="2" t="s">
        <v>38</v>
      </c>
      <c r="H311" s="2">
        <v>19133</v>
      </c>
      <c r="I311" s="2">
        <v>0</v>
      </c>
      <c r="J311" s="2">
        <v>0</v>
      </c>
      <c r="K311" s="2">
        <v>1</v>
      </c>
      <c r="L311" s="2" t="s">
        <v>35</v>
      </c>
      <c r="M311" s="2">
        <v>823</v>
      </c>
      <c r="N311" s="2" t="s">
        <v>75</v>
      </c>
      <c r="O311" s="2" t="s">
        <v>431</v>
      </c>
      <c r="P311" s="2">
        <v>500</v>
      </c>
      <c r="Q311" s="2" t="s">
        <v>80</v>
      </c>
      <c r="R311" t="str">
        <f t="shared" si="4"/>
        <v>Y</v>
      </c>
    </row>
    <row r="312" spans="1:18" x14ac:dyDescent="0.3">
      <c r="A312" s="1" t="s">
        <v>392</v>
      </c>
      <c r="B312" s="1">
        <v>26</v>
      </c>
      <c r="C312" s="1" t="s">
        <v>18</v>
      </c>
      <c r="D312" s="1" t="s">
        <v>26</v>
      </c>
      <c r="E312" s="1">
        <v>2015</v>
      </c>
      <c r="F312" s="1" t="s">
        <v>79</v>
      </c>
      <c r="G312" s="1" t="s">
        <v>56</v>
      </c>
      <c r="H312" s="1">
        <v>19465</v>
      </c>
      <c r="I312" s="1">
        <v>8</v>
      </c>
      <c r="J312" s="1">
        <v>1</v>
      </c>
      <c r="K312" s="1">
        <v>3</v>
      </c>
      <c r="L312" s="1" t="s">
        <v>35</v>
      </c>
      <c r="M312" s="1">
        <v>768</v>
      </c>
      <c r="N312" s="1" t="s">
        <v>22</v>
      </c>
      <c r="O312" s="1" t="s">
        <v>62</v>
      </c>
      <c r="P312" s="1">
        <v>15000</v>
      </c>
      <c r="Q312" s="1" t="s">
        <v>58</v>
      </c>
      <c r="R312" t="str">
        <f t="shared" si="4"/>
        <v>Y</v>
      </c>
    </row>
    <row r="313" spans="1:18" x14ac:dyDescent="0.3">
      <c r="A313" s="2" t="s">
        <v>393</v>
      </c>
      <c r="B313" s="2">
        <v>62</v>
      </c>
      <c r="C313" s="2" t="s">
        <v>18</v>
      </c>
      <c r="D313" s="2" t="s">
        <v>33</v>
      </c>
      <c r="E313" s="2">
        <v>2021</v>
      </c>
      <c r="F313" s="2" t="s">
        <v>65</v>
      </c>
      <c r="G313" s="2" t="s">
        <v>77</v>
      </c>
      <c r="H313" s="2">
        <v>22038</v>
      </c>
      <c r="I313" s="2">
        <v>46</v>
      </c>
      <c r="J313" s="2">
        <v>0</v>
      </c>
      <c r="K313" s="2">
        <v>1</v>
      </c>
      <c r="L313" s="2" t="s">
        <v>35</v>
      </c>
      <c r="M313" s="2">
        <v>565</v>
      </c>
      <c r="N313" s="2" t="s">
        <v>22</v>
      </c>
      <c r="O313" s="2" t="s">
        <v>62</v>
      </c>
      <c r="P313" s="2">
        <v>1200</v>
      </c>
      <c r="Q313" s="2" t="s">
        <v>142</v>
      </c>
      <c r="R313" t="str">
        <f t="shared" si="4"/>
        <v>Y</v>
      </c>
    </row>
    <row r="314" spans="1:18" x14ac:dyDescent="0.3">
      <c r="A314" s="1" t="s">
        <v>394</v>
      </c>
      <c r="B314" s="1">
        <v>35</v>
      </c>
      <c r="C314" s="1" t="s">
        <v>60</v>
      </c>
      <c r="D314" s="1" t="s">
        <v>85</v>
      </c>
      <c r="E314" s="1">
        <v>2011</v>
      </c>
      <c r="F314" s="1" t="s">
        <v>65</v>
      </c>
      <c r="G314" s="1" t="s">
        <v>77</v>
      </c>
      <c r="H314" s="1">
        <v>16891</v>
      </c>
      <c r="I314" s="1">
        <v>18</v>
      </c>
      <c r="J314" s="1">
        <v>1</v>
      </c>
      <c r="K314" s="1">
        <v>3</v>
      </c>
      <c r="L314" s="1" t="s">
        <v>29</v>
      </c>
      <c r="M314" s="1">
        <v>673</v>
      </c>
      <c r="N314" s="1" t="s">
        <v>75</v>
      </c>
      <c r="O314" s="1" t="s">
        <v>40</v>
      </c>
      <c r="P314" s="1">
        <v>15000</v>
      </c>
      <c r="Q314" s="1" t="s">
        <v>98</v>
      </c>
      <c r="R314" t="str">
        <f t="shared" si="4"/>
        <v>Y</v>
      </c>
    </row>
    <row r="315" spans="1:18" x14ac:dyDescent="0.3">
      <c r="A315" s="2" t="s">
        <v>395</v>
      </c>
      <c r="B315" s="2">
        <v>54</v>
      </c>
      <c r="C315" s="2" t="s">
        <v>18</v>
      </c>
      <c r="D315" s="2" t="s">
        <v>19</v>
      </c>
      <c r="E315" s="2">
        <v>2003</v>
      </c>
      <c r="F315" s="2" t="s">
        <v>27</v>
      </c>
      <c r="G315" s="2" t="s">
        <v>28</v>
      </c>
      <c r="H315" s="2">
        <v>21197</v>
      </c>
      <c r="I315" s="2">
        <v>35</v>
      </c>
      <c r="J315" s="2">
        <v>1</v>
      </c>
      <c r="K315" s="2">
        <v>0</v>
      </c>
      <c r="L315" s="2" t="s">
        <v>35</v>
      </c>
      <c r="M315" s="2">
        <v>453</v>
      </c>
      <c r="N315" s="2" t="s">
        <v>75</v>
      </c>
      <c r="O315" s="2" t="s">
        <v>90</v>
      </c>
      <c r="P315" s="2">
        <v>0</v>
      </c>
      <c r="Q315" s="2" t="s">
        <v>48</v>
      </c>
      <c r="R315" t="str">
        <f t="shared" si="4"/>
        <v>N</v>
      </c>
    </row>
    <row r="316" spans="1:18" x14ac:dyDescent="0.3">
      <c r="A316" s="1" t="s">
        <v>396</v>
      </c>
      <c r="B316" s="1">
        <v>49</v>
      </c>
      <c r="C316" s="1" t="s">
        <v>18</v>
      </c>
      <c r="D316" s="1" t="s">
        <v>85</v>
      </c>
      <c r="E316" s="1">
        <v>2015</v>
      </c>
      <c r="F316" s="1" t="s">
        <v>27</v>
      </c>
      <c r="G316" s="1" t="s">
        <v>38</v>
      </c>
      <c r="H316" s="1">
        <v>21420</v>
      </c>
      <c r="I316" s="1">
        <v>29</v>
      </c>
      <c r="J316" s="1">
        <v>0</v>
      </c>
      <c r="K316" s="1">
        <v>1</v>
      </c>
      <c r="L316" s="1" t="s">
        <v>35</v>
      </c>
      <c r="M316" s="1">
        <v>467</v>
      </c>
      <c r="N316" s="1" t="s">
        <v>22</v>
      </c>
      <c r="O316" s="1" t="s">
        <v>36</v>
      </c>
      <c r="P316" s="1">
        <v>1200</v>
      </c>
      <c r="Q316" s="1" t="s">
        <v>108</v>
      </c>
      <c r="R316" t="str">
        <f t="shared" si="4"/>
        <v>Y</v>
      </c>
    </row>
    <row r="317" spans="1:18" x14ac:dyDescent="0.3">
      <c r="A317" s="2" t="s">
        <v>397</v>
      </c>
      <c r="B317" s="2">
        <v>71</v>
      </c>
      <c r="C317" s="2" t="s">
        <v>60</v>
      </c>
      <c r="D317" s="2" t="s">
        <v>33</v>
      </c>
      <c r="E317" s="2">
        <v>2014</v>
      </c>
      <c r="F317" s="2" t="s">
        <v>27</v>
      </c>
      <c r="G317" s="2" t="s">
        <v>38</v>
      </c>
      <c r="H317" s="2">
        <v>14828</v>
      </c>
      <c r="I317" s="2">
        <v>53</v>
      </c>
      <c r="J317" s="2">
        <v>1</v>
      </c>
      <c r="K317" s="2">
        <v>2</v>
      </c>
      <c r="L317" s="2" t="s">
        <v>29</v>
      </c>
      <c r="M317" s="2">
        <v>652</v>
      </c>
      <c r="N317" s="2" t="s">
        <v>22</v>
      </c>
      <c r="O317" s="2" t="s">
        <v>431</v>
      </c>
      <c r="P317" s="2">
        <v>0</v>
      </c>
      <c r="Q317" s="2" t="s">
        <v>54</v>
      </c>
      <c r="R317" t="str">
        <f t="shared" si="4"/>
        <v>N</v>
      </c>
    </row>
    <row r="318" spans="1:18" x14ac:dyDescent="0.3">
      <c r="A318" s="1" t="s">
        <v>398</v>
      </c>
      <c r="B318" s="1">
        <v>73</v>
      </c>
      <c r="C318" s="1" t="s">
        <v>60</v>
      </c>
      <c r="D318" s="1" t="s">
        <v>19</v>
      </c>
      <c r="E318" s="1">
        <v>2018</v>
      </c>
      <c r="F318" s="1" t="s">
        <v>20</v>
      </c>
      <c r="G318" s="1" t="s">
        <v>21</v>
      </c>
      <c r="H318" s="1">
        <v>12326</v>
      </c>
      <c r="I318" s="1">
        <v>55</v>
      </c>
      <c r="J318" s="1">
        <v>0</v>
      </c>
      <c r="K318" s="1">
        <v>3</v>
      </c>
      <c r="L318" s="1" t="s">
        <v>35</v>
      </c>
      <c r="M318" s="1">
        <v>799</v>
      </c>
      <c r="N318" s="1" t="s">
        <v>39</v>
      </c>
      <c r="O318" s="1" t="s">
        <v>23</v>
      </c>
      <c r="P318" s="1">
        <v>0</v>
      </c>
      <c r="Q318" s="1" t="s">
        <v>95</v>
      </c>
      <c r="R318" t="str">
        <f t="shared" si="4"/>
        <v>N</v>
      </c>
    </row>
    <row r="319" spans="1:18" x14ac:dyDescent="0.3">
      <c r="A319" s="2" t="s">
        <v>399</v>
      </c>
      <c r="B319" s="2">
        <v>57</v>
      </c>
      <c r="C319" s="2" t="s">
        <v>18</v>
      </c>
      <c r="D319" s="2" t="s">
        <v>26</v>
      </c>
      <c r="E319" s="2">
        <v>2020</v>
      </c>
      <c r="F319" s="2" t="s">
        <v>65</v>
      </c>
      <c r="G319" s="2" t="s">
        <v>61</v>
      </c>
      <c r="H319" s="2">
        <v>23990</v>
      </c>
      <c r="I319" s="2">
        <v>39</v>
      </c>
      <c r="J319" s="2">
        <v>1</v>
      </c>
      <c r="K319" s="2">
        <v>3</v>
      </c>
      <c r="L319" s="2" t="s">
        <v>35</v>
      </c>
      <c r="M319" s="2">
        <v>714</v>
      </c>
      <c r="N319" s="2" t="s">
        <v>22</v>
      </c>
      <c r="O319" s="2" t="s">
        <v>67</v>
      </c>
      <c r="P319" s="2">
        <v>0</v>
      </c>
      <c r="Q319" s="2" t="s">
        <v>58</v>
      </c>
      <c r="R319" t="str">
        <f t="shared" si="4"/>
        <v>N</v>
      </c>
    </row>
  </sheetData>
  <sortState xmlns:xlrd2="http://schemas.microsoft.com/office/spreadsheetml/2017/richdata2" ref="A2:Q319">
    <sortCondition ref="A3:A31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B751-69FD-48D5-BFBC-05FB96AABF14}">
  <dimension ref="A1:Q39"/>
  <sheetViews>
    <sheetView topLeftCell="B1" zoomScale="89" zoomScaleNormal="89" workbookViewId="0">
      <selection activeCell="A32" sqref="A32:H54"/>
    </sheetView>
  </sheetViews>
  <sheetFormatPr defaultRowHeight="14.4" x14ac:dyDescent="0.3"/>
  <cols>
    <col min="1" max="1" width="12.44140625" bestFit="1" customWidth="1"/>
    <col min="2" max="2" width="31.21875" bestFit="1" customWidth="1"/>
    <col min="3" max="3" width="7.6640625" bestFit="1" customWidth="1"/>
    <col min="4" max="4" width="12.44140625" bestFit="1" customWidth="1"/>
    <col min="5" max="5" width="31.21875" bestFit="1" customWidth="1"/>
    <col min="6" max="6" width="7.6640625" bestFit="1" customWidth="1"/>
    <col min="7" max="7" width="12.44140625" bestFit="1" customWidth="1"/>
    <col min="8" max="8" width="31.21875" bestFit="1" customWidth="1"/>
    <col min="10" max="10" width="10.5546875" bestFit="1" customWidth="1"/>
    <col min="11" max="11" width="15.88671875" bestFit="1" customWidth="1"/>
    <col min="13" max="13" width="14.5546875" bestFit="1" customWidth="1"/>
    <col min="14" max="14" width="15.88671875" bestFit="1" customWidth="1"/>
    <col min="16" max="16" width="20.33203125" bestFit="1" customWidth="1"/>
    <col min="17" max="17" width="15.88671875" bestFit="1" customWidth="1"/>
  </cols>
  <sheetData>
    <row r="1" spans="1:17" x14ac:dyDescent="0.3">
      <c r="A1" t="s">
        <v>441</v>
      </c>
    </row>
    <row r="4" spans="1:17" x14ac:dyDescent="0.3">
      <c r="A4" s="3" t="s">
        <v>401</v>
      </c>
      <c r="B4" t="s">
        <v>403</v>
      </c>
      <c r="D4" s="3" t="s">
        <v>401</v>
      </c>
      <c r="E4" t="s">
        <v>403</v>
      </c>
      <c r="G4" s="3" t="s">
        <v>428</v>
      </c>
      <c r="H4" t="s">
        <v>403</v>
      </c>
      <c r="J4" s="3" t="s">
        <v>11</v>
      </c>
      <c r="K4" t="s">
        <v>403</v>
      </c>
      <c r="M4" s="3" t="s">
        <v>401</v>
      </c>
      <c r="N4" t="s">
        <v>403</v>
      </c>
    </row>
    <row r="5" spans="1:17" x14ac:dyDescent="0.3">
      <c r="A5" s="4" t="s">
        <v>404</v>
      </c>
      <c r="B5">
        <v>57</v>
      </c>
      <c r="D5" s="4" t="s">
        <v>410</v>
      </c>
      <c r="E5">
        <v>59</v>
      </c>
      <c r="G5" s="4" t="s">
        <v>422</v>
      </c>
      <c r="H5">
        <v>50</v>
      </c>
      <c r="J5" s="4" t="s">
        <v>29</v>
      </c>
      <c r="K5">
        <v>122</v>
      </c>
      <c r="M5" s="4" t="s">
        <v>36</v>
      </c>
      <c r="N5">
        <v>39</v>
      </c>
      <c r="P5" s="3" t="s">
        <v>443</v>
      </c>
      <c r="Q5" t="s">
        <v>403</v>
      </c>
    </row>
    <row r="6" spans="1:17" x14ac:dyDescent="0.3">
      <c r="A6" s="4" t="s">
        <v>405</v>
      </c>
      <c r="B6">
        <v>44</v>
      </c>
      <c r="D6" s="4" t="s">
        <v>411</v>
      </c>
      <c r="E6">
        <v>49</v>
      </c>
      <c r="G6" s="4" t="s">
        <v>423</v>
      </c>
      <c r="H6">
        <v>52</v>
      </c>
      <c r="J6" s="4" t="s">
        <v>35</v>
      </c>
      <c r="K6">
        <v>196</v>
      </c>
      <c r="M6" s="4" t="s">
        <v>432</v>
      </c>
      <c r="N6">
        <v>30</v>
      </c>
      <c r="P6" s="4">
        <v>0</v>
      </c>
      <c r="Q6">
        <v>131</v>
      </c>
    </row>
    <row r="7" spans="1:17" x14ac:dyDescent="0.3">
      <c r="A7" s="4" t="s">
        <v>406</v>
      </c>
      <c r="B7">
        <v>54</v>
      </c>
      <c r="D7" s="4" t="s">
        <v>412</v>
      </c>
      <c r="E7">
        <v>67</v>
      </c>
      <c r="G7" s="4" t="s">
        <v>424</v>
      </c>
      <c r="H7">
        <v>51</v>
      </c>
      <c r="J7" s="4" t="s">
        <v>402</v>
      </c>
      <c r="K7">
        <v>318</v>
      </c>
      <c r="M7" s="4" t="s">
        <v>40</v>
      </c>
      <c r="N7">
        <v>38</v>
      </c>
      <c r="P7" s="4">
        <v>500</v>
      </c>
      <c r="Q7">
        <v>46</v>
      </c>
    </row>
    <row r="8" spans="1:17" x14ac:dyDescent="0.3">
      <c r="A8" s="4" t="s">
        <v>407</v>
      </c>
      <c r="B8">
        <v>51</v>
      </c>
      <c r="D8" s="4" t="s">
        <v>413</v>
      </c>
      <c r="E8">
        <v>72</v>
      </c>
      <c r="G8" s="4" t="s">
        <v>425</v>
      </c>
      <c r="H8">
        <v>54</v>
      </c>
      <c r="M8" s="4" t="s">
        <v>67</v>
      </c>
      <c r="N8">
        <v>30</v>
      </c>
      <c r="P8" s="4">
        <v>1200</v>
      </c>
      <c r="Q8">
        <v>37</v>
      </c>
    </row>
    <row r="9" spans="1:17" x14ac:dyDescent="0.3">
      <c r="A9" s="4" t="s">
        <v>408</v>
      </c>
      <c r="B9">
        <v>60</v>
      </c>
      <c r="D9" s="4" t="s">
        <v>414</v>
      </c>
      <c r="E9">
        <v>71</v>
      </c>
      <c r="G9" s="4" t="s">
        <v>426</v>
      </c>
      <c r="H9">
        <v>60</v>
      </c>
      <c r="J9" s="3" t="s">
        <v>438</v>
      </c>
      <c r="K9" t="s">
        <v>403</v>
      </c>
      <c r="M9" s="4" t="s">
        <v>431</v>
      </c>
      <c r="N9">
        <v>25</v>
      </c>
      <c r="P9" s="4">
        <v>3000</v>
      </c>
      <c r="Q9">
        <v>33</v>
      </c>
    </row>
    <row r="10" spans="1:17" x14ac:dyDescent="0.3">
      <c r="A10" s="4" t="s">
        <v>409</v>
      </c>
      <c r="B10">
        <v>52</v>
      </c>
      <c r="D10" s="4" t="s">
        <v>402</v>
      </c>
      <c r="E10">
        <v>318</v>
      </c>
      <c r="G10" s="4" t="s">
        <v>427</v>
      </c>
      <c r="H10">
        <v>51</v>
      </c>
      <c r="J10" s="4" t="s">
        <v>433</v>
      </c>
      <c r="K10">
        <v>67</v>
      </c>
      <c r="M10" s="4" t="s">
        <v>23</v>
      </c>
      <c r="N10">
        <v>35</v>
      </c>
      <c r="P10" s="4">
        <v>7500</v>
      </c>
      <c r="Q10">
        <v>39</v>
      </c>
    </row>
    <row r="11" spans="1:17" x14ac:dyDescent="0.3">
      <c r="A11" s="4" t="s">
        <v>402</v>
      </c>
      <c r="B11">
        <v>318</v>
      </c>
      <c r="G11" s="4" t="s">
        <v>402</v>
      </c>
      <c r="H11">
        <v>318</v>
      </c>
      <c r="J11" s="4" t="s">
        <v>434</v>
      </c>
      <c r="K11">
        <v>67</v>
      </c>
      <c r="M11" s="4" t="s">
        <v>43</v>
      </c>
      <c r="N11">
        <v>25</v>
      </c>
      <c r="P11" s="4">
        <v>15000</v>
      </c>
      <c r="Q11">
        <v>32</v>
      </c>
    </row>
    <row r="12" spans="1:17" x14ac:dyDescent="0.3">
      <c r="D12" s="3" t="s">
        <v>401</v>
      </c>
      <c r="E12" t="s">
        <v>403</v>
      </c>
      <c r="J12" s="4" t="s">
        <v>435</v>
      </c>
      <c r="K12">
        <v>68</v>
      </c>
      <c r="M12" s="4" t="s">
        <v>90</v>
      </c>
      <c r="N12">
        <v>23</v>
      </c>
      <c r="P12" s="4" t="s">
        <v>402</v>
      </c>
      <c r="Q12">
        <v>318</v>
      </c>
    </row>
    <row r="13" spans="1:17" x14ac:dyDescent="0.3">
      <c r="A13" s="3" t="s">
        <v>401</v>
      </c>
      <c r="B13" t="s">
        <v>403</v>
      </c>
      <c r="D13" s="4" t="s">
        <v>79</v>
      </c>
      <c r="E13">
        <v>26</v>
      </c>
      <c r="G13" s="3" t="s">
        <v>429</v>
      </c>
      <c r="H13" t="s">
        <v>403</v>
      </c>
      <c r="J13" s="4" t="s">
        <v>436</v>
      </c>
      <c r="K13">
        <v>71</v>
      </c>
      <c r="M13" s="4" t="s">
        <v>62</v>
      </c>
      <c r="N13">
        <v>43</v>
      </c>
    </row>
    <row r="14" spans="1:17" x14ac:dyDescent="0.3">
      <c r="A14" s="4" t="s">
        <v>85</v>
      </c>
      <c r="B14">
        <v>75</v>
      </c>
      <c r="D14" s="4" t="s">
        <v>46</v>
      </c>
      <c r="E14">
        <v>29</v>
      </c>
      <c r="G14" s="4">
        <v>0</v>
      </c>
      <c r="H14">
        <v>142</v>
      </c>
      <c r="J14" s="4" t="s">
        <v>437</v>
      </c>
      <c r="K14">
        <v>45</v>
      </c>
      <c r="M14" s="4" t="s">
        <v>30</v>
      </c>
      <c r="N14">
        <v>30</v>
      </c>
      <c r="P14" s="3" t="s">
        <v>439</v>
      </c>
      <c r="Q14" t="s">
        <v>403</v>
      </c>
    </row>
    <row r="15" spans="1:17" x14ac:dyDescent="0.3">
      <c r="A15" s="4" t="s">
        <v>19</v>
      </c>
      <c r="B15">
        <v>73</v>
      </c>
      <c r="D15" s="4" t="s">
        <v>27</v>
      </c>
      <c r="E15">
        <v>74</v>
      </c>
      <c r="G15" s="4">
        <v>1</v>
      </c>
      <c r="H15">
        <v>130</v>
      </c>
      <c r="J15" s="4" t="s">
        <v>402</v>
      </c>
      <c r="K15">
        <v>318</v>
      </c>
      <c r="M15" s="4" t="s">
        <v>402</v>
      </c>
      <c r="N15">
        <v>318</v>
      </c>
      <c r="P15" s="4" t="s">
        <v>29</v>
      </c>
      <c r="Q15">
        <v>131</v>
      </c>
    </row>
    <row r="16" spans="1:17" x14ac:dyDescent="0.3">
      <c r="A16" s="4" t="s">
        <v>33</v>
      </c>
      <c r="B16">
        <v>82</v>
      </c>
      <c r="D16" s="4" t="s">
        <v>65</v>
      </c>
      <c r="E16">
        <v>74</v>
      </c>
      <c r="G16" s="4">
        <v>2</v>
      </c>
      <c r="H16">
        <v>46</v>
      </c>
      <c r="P16" s="4" t="s">
        <v>35</v>
      </c>
      <c r="Q16">
        <v>187</v>
      </c>
    </row>
    <row r="17" spans="1:17" x14ac:dyDescent="0.3">
      <c r="A17" s="4" t="s">
        <v>26</v>
      </c>
      <c r="B17">
        <v>88</v>
      </c>
      <c r="D17" s="4" t="s">
        <v>20</v>
      </c>
      <c r="E17">
        <v>28</v>
      </c>
      <c r="G17" s="4" t="s">
        <v>402</v>
      </c>
      <c r="H17">
        <v>318</v>
      </c>
      <c r="J17" s="3" t="s">
        <v>440</v>
      </c>
      <c r="K17" t="s">
        <v>403</v>
      </c>
      <c r="M17" s="3" t="s">
        <v>401</v>
      </c>
      <c r="N17" t="s">
        <v>403</v>
      </c>
      <c r="P17" s="4" t="s">
        <v>402</v>
      </c>
      <c r="Q17">
        <v>318</v>
      </c>
    </row>
    <row r="18" spans="1:17" x14ac:dyDescent="0.3">
      <c r="A18" s="4" t="s">
        <v>402</v>
      </c>
      <c r="B18">
        <v>318</v>
      </c>
      <c r="D18" s="4" t="s">
        <v>73</v>
      </c>
      <c r="E18">
        <v>34</v>
      </c>
      <c r="J18" s="4" t="s">
        <v>75</v>
      </c>
      <c r="K18">
        <v>113</v>
      </c>
      <c r="M18" s="4" t="s">
        <v>54</v>
      </c>
      <c r="N18">
        <v>12</v>
      </c>
    </row>
    <row r="19" spans="1:17" x14ac:dyDescent="0.3">
      <c r="D19" s="4" t="s">
        <v>69</v>
      </c>
      <c r="E19">
        <v>53</v>
      </c>
      <c r="G19" s="3" t="s">
        <v>430</v>
      </c>
      <c r="H19" t="s">
        <v>403</v>
      </c>
      <c r="J19" s="4" t="s">
        <v>22</v>
      </c>
      <c r="K19">
        <v>109</v>
      </c>
      <c r="M19" s="4" t="s">
        <v>31</v>
      </c>
      <c r="N19">
        <v>9</v>
      </c>
    </row>
    <row r="20" spans="1:17" x14ac:dyDescent="0.3">
      <c r="A20" s="3" t="s">
        <v>401</v>
      </c>
      <c r="B20" t="s">
        <v>403</v>
      </c>
      <c r="D20" s="4" t="s">
        <v>402</v>
      </c>
      <c r="E20">
        <v>318</v>
      </c>
      <c r="G20" s="4">
        <v>0</v>
      </c>
      <c r="H20">
        <v>98</v>
      </c>
      <c r="J20" s="4" t="s">
        <v>39</v>
      </c>
      <c r="K20">
        <v>96</v>
      </c>
      <c r="M20" s="4" t="s">
        <v>112</v>
      </c>
      <c r="N20">
        <v>1</v>
      </c>
    </row>
    <row r="21" spans="1:17" x14ac:dyDescent="0.3">
      <c r="A21" s="4" t="s">
        <v>60</v>
      </c>
      <c r="B21">
        <v>175</v>
      </c>
      <c r="G21" s="4">
        <v>1</v>
      </c>
      <c r="H21">
        <v>104</v>
      </c>
      <c r="J21" s="4" t="s">
        <v>402</v>
      </c>
      <c r="K21">
        <v>318</v>
      </c>
      <c r="M21" s="4" t="s">
        <v>95</v>
      </c>
      <c r="N21">
        <v>20</v>
      </c>
    </row>
    <row r="22" spans="1:17" x14ac:dyDescent="0.3">
      <c r="A22" s="4" t="s">
        <v>18</v>
      </c>
      <c r="B22">
        <v>143</v>
      </c>
      <c r="D22" s="3" t="s">
        <v>444</v>
      </c>
      <c r="E22" t="s">
        <v>403</v>
      </c>
      <c r="G22" s="4">
        <v>2</v>
      </c>
      <c r="H22">
        <v>52</v>
      </c>
      <c r="M22" s="4" t="s">
        <v>86</v>
      </c>
      <c r="N22">
        <v>18</v>
      </c>
    </row>
    <row r="23" spans="1:17" x14ac:dyDescent="0.3">
      <c r="A23" s="4" t="s">
        <v>402</v>
      </c>
      <c r="B23">
        <v>318</v>
      </c>
      <c r="D23" s="4" t="s">
        <v>415</v>
      </c>
      <c r="E23">
        <v>45</v>
      </c>
      <c r="G23" s="4">
        <v>3</v>
      </c>
      <c r="H23">
        <v>64</v>
      </c>
      <c r="M23" s="4" t="s">
        <v>142</v>
      </c>
      <c r="N23">
        <v>13</v>
      </c>
    </row>
    <row r="24" spans="1:17" x14ac:dyDescent="0.3">
      <c r="D24" s="4" t="s">
        <v>416</v>
      </c>
      <c r="E24">
        <v>51</v>
      </c>
      <c r="G24" s="4" t="s">
        <v>402</v>
      </c>
      <c r="H24">
        <v>318</v>
      </c>
      <c r="M24" s="4" t="s">
        <v>99</v>
      </c>
      <c r="N24">
        <v>15</v>
      </c>
    </row>
    <row r="25" spans="1:17" x14ac:dyDescent="0.3">
      <c r="D25" s="4" t="s">
        <v>417</v>
      </c>
      <c r="E25">
        <v>46</v>
      </c>
      <c r="M25" s="4" t="s">
        <v>44</v>
      </c>
      <c r="N25">
        <v>14</v>
      </c>
    </row>
    <row r="26" spans="1:17" x14ac:dyDescent="0.3">
      <c r="D26" s="4" t="s">
        <v>418</v>
      </c>
      <c r="E26">
        <v>54</v>
      </c>
      <c r="M26" s="4" t="s">
        <v>103</v>
      </c>
      <c r="N26">
        <v>14</v>
      </c>
    </row>
    <row r="27" spans="1:17" x14ac:dyDescent="0.3">
      <c r="D27" s="4" t="s">
        <v>419</v>
      </c>
      <c r="E27">
        <v>57</v>
      </c>
      <c r="M27" s="4" t="s">
        <v>41</v>
      </c>
      <c r="N27">
        <v>21</v>
      </c>
    </row>
    <row r="28" spans="1:17" x14ac:dyDescent="0.3">
      <c r="D28" s="4" t="s">
        <v>420</v>
      </c>
      <c r="E28">
        <v>52</v>
      </c>
      <c r="M28" s="4" t="s">
        <v>51</v>
      </c>
      <c r="N28">
        <v>22</v>
      </c>
    </row>
    <row r="29" spans="1:17" x14ac:dyDescent="0.3">
      <c r="D29" s="4" t="s">
        <v>421</v>
      </c>
      <c r="E29">
        <v>13</v>
      </c>
      <c r="M29" s="4" t="s">
        <v>80</v>
      </c>
      <c r="N29">
        <v>22</v>
      </c>
    </row>
    <row r="30" spans="1:17" x14ac:dyDescent="0.3">
      <c r="D30" s="4" t="s">
        <v>402</v>
      </c>
      <c r="E30">
        <v>318</v>
      </c>
      <c r="M30" s="4" t="s">
        <v>63</v>
      </c>
      <c r="N30">
        <v>13</v>
      </c>
    </row>
    <row r="31" spans="1:17" x14ac:dyDescent="0.3">
      <c r="M31" s="4" t="s">
        <v>126</v>
      </c>
      <c r="N31">
        <v>16</v>
      </c>
    </row>
    <row r="32" spans="1:17" x14ac:dyDescent="0.3">
      <c r="M32" s="4" t="s">
        <v>37</v>
      </c>
      <c r="N32">
        <v>20</v>
      </c>
    </row>
    <row r="33" spans="13:14" x14ac:dyDescent="0.3">
      <c r="M33" s="4" t="s">
        <v>105</v>
      </c>
      <c r="N33">
        <v>10</v>
      </c>
    </row>
    <row r="34" spans="13:14" x14ac:dyDescent="0.3">
      <c r="M34" s="4" t="s">
        <v>98</v>
      </c>
      <c r="N34">
        <v>19</v>
      </c>
    </row>
    <row r="35" spans="13:14" x14ac:dyDescent="0.3">
      <c r="M35" s="4" t="s">
        <v>108</v>
      </c>
      <c r="N35">
        <v>9</v>
      </c>
    </row>
    <row r="36" spans="13:14" x14ac:dyDescent="0.3">
      <c r="M36" s="4" t="s">
        <v>24</v>
      </c>
      <c r="N36">
        <v>15</v>
      </c>
    </row>
    <row r="37" spans="13:14" x14ac:dyDescent="0.3">
      <c r="M37" s="4" t="s">
        <v>48</v>
      </c>
      <c r="N37">
        <v>19</v>
      </c>
    </row>
    <row r="38" spans="13:14" x14ac:dyDescent="0.3">
      <c r="M38" s="4" t="s">
        <v>58</v>
      </c>
      <c r="N38">
        <v>16</v>
      </c>
    </row>
    <row r="39" spans="13:14" x14ac:dyDescent="0.3">
      <c r="M39" s="4" t="s">
        <v>402</v>
      </c>
      <c r="N39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2208-69E7-47D9-B4F2-A2F694F46EF4}">
  <dimension ref="B2:I320"/>
  <sheetViews>
    <sheetView workbookViewId="0">
      <selection activeCell="J4" sqref="J4"/>
    </sheetView>
  </sheetViews>
  <sheetFormatPr defaultRowHeight="14.4" x14ac:dyDescent="0.3"/>
  <cols>
    <col min="2" max="2" width="14.33203125" customWidth="1"/>
    <col min="3" max="3" width="11.21875" customWidth="1"/>
    <col min="4" max="4" width="18.77734375" customWidth="1"/>
    <col min="5" max="5" width="13.21875" customWidth="1"/>
    <col min="6" max="6" width="14.88671875" customWidth="1"/>
    <col min="8" max="8" width="10.5546875" customWidth="1"/>
    <col min="9" max="9" width="10.33203125" customWidth="1"/>
  </cols>
  <sheetData>
    <row r="2" spans="2:9" x14ac:dyDescent="0.3">
      <c r="B2" t="s">
        <v>454</v>
      </c>
      <c r="C2" t="s">
        <v>455</v>
      </c>
      <c r="D2" t="s">
        <v>456</v>
      </c>
      <c r="E2" t="s">
        <v>457</v>
      </c>
      <c r="F2" t="s">
        <v>458</v>
      </c>
      <c r="G2" t="s">
        <v>11</v>
      </c>
      <c r="H2" t="s">
        <v>440</v>
      </c>
      <c r="I2" t="s">
        <v>467</v>
      </c>
    </row>
    <row r="3" spans="2:9" x14ac:dyDescent="0.3">
      <c r="B3">
        <f>_xlfn.XLOOKUP(insurance_policy_data!B253,Sheet2!$B$3:$B$8,Sheet2!$C$3:$C$8,,-1)</f>
        <v>1.21</v>
      </c>
      <c r="C3">
        <f>_xlfn.XLOOKUP(insurance_policy_data!I253,Sheet2!$E$3:$E$7,Sheet2!$F$3:$F$7,,-1)</f>
        <v>1.25</v>
      </c>
      <c r="D3">
        <f>_xlfn.XLOOKUP(insurance_policy_data!P253,Sheet2!$H$3:$H$5,Sheet2!$I$3:$I$5,,-1)</f>
        <v>1</v>
      </c>
      <c r="E3">
        <f>_xlfn.XLOOKUP(insurance_policy_data!M253,Sheet2!$K$3:$K$7,Sheet2!$L$3:$L$7,,-1)</f>
        <v>1.39</v>
      </c>
      <c r="F3">
        <f>_xlfn.XLOOKUP(insurance_policy_data!H253,Sheet2!$N$3:$N$9,Sheet2!$O$3:$O$9,,-1)</f>
        <v>1.1000000000000001</v>
      </c>
      <c r="G3">
        <f>_xlfn.XLOOKUP(insurance_policy_data!L253,Sheet2!$Q$3:$Q$4,Sheet2!$R$3:$R$4)</f>
        <v>0.75</v>
      </c>
      <c r="H3">
        <f>_xlfn.XLOOKUP(insurance_policy_data!N253,Sheet2!$T$3:$T$5,Sheet2!$U$3:$U$5,,-1)</f>
        <v>1</v>
      </c>
      <c r="I3">
        <f t="shared" ref="I3:I66" si="0">(B3*C3*D3*E3*F3*G3*H3)*80</f>
        <v>138.75675000000001</v>
      </c>
    </row>
    <row r="4" spans="2:9" x14ac:dyDescent="0.3">
      <c r="B4">
        <f>_xlfn.XLOOKUP(insurance_policy_data!B45,Sheet2!$B$3:$B$8,Sheet2!$C$3:$C$8,,-1)</f>
        <v>1.27</v>
      </c>
      <c r="C4">
        <f>_xlfn.XLOOKUP(insurance_policy_data!I45,Sheet2!$E$3:$E$7,Sheet2!$F$3:$F$7,,-1)</f>
        <v>1.25</v>
      </c>
      <c r="D4">
        <f>_xlfn.XLOOKUP(insurance_policy_data!P45,Sheet2!$H$3:$H$5,Sheet2!$I$3:$I$5,,-1)</f>
        <v>1</v>
      </c>
      <c r="E4">
        <f>_xlfn.XLOOKUP(insurance_policy_data!M45,Sheet2!$K$3:$K$7,Sheet2!$L$3:$L$7,,-1)</f>
        <v>1.26</v>
      </c>
      <c r="F4">
        <f>_xlfn.XLOOKUP(insurance_policy_data!H45,Sheet2!$N$3:$N$9,Sheet2!$O$3:$O$9,,-1)</f>
        <v>1.1000000000000001</v>
      </c>
      <c r="G4">
        <f>_xlfn.XLOOKUP(insurance_policy_data!L45,Sheet2!$Q$3:$Q$4,Sheet2!$R$3:$R$4)</f>
        <v>0.75</v>
      </c>
      <c r="H4">
        <f>_xlfn.XLOOKUP(insurance_policy_data!N45,Sheet2!$T$3:$T$5,Sheet2!$U$3:$U$5,,-1)</f>
        <v>1.1000000000000001</v>
      </c>
      <c r="I4">
        <f t="shared" si="0"/>
        <v>145.21815000000001</v>
      </c>
    </row>
    <row r="5" spans="2:9" x14ac:dyDescent="0.3">
      <c r="B5">
        <f>_xlfn.XLOOKUP(insurance_policy_data!B317,Sheet2!$B$3:$B$8,Sheet2!$C$3:$C$8,,-1)</f>
        <v>1.21</v>
      </c>
      <c r="C5">
        <f>_xlfn.XLOOKUP(insurance_policy_data!I317,Sheet2!$E$3:$E$7,Sheet2!$F$3:$F$7,,-1)</f>
        <v>1.25</v>
      </c>
      <c r="D5">
        <f>_xlfn.XLOOKUP(insurance_policy_data!P317,Sheet2!$H$3:$H$5,Sheet2!$I$3:$I$5,,-1)</f>
        <v>1</v>
      </c>
      <c r="E5">
        <f>_xlfn.XLOOKUP(insurance_policy_data!M317,Sheet2!$K$3:$K$7,Sheet2!$L$3:$L$7,,-1)</f>
        <v>1.3</v>
      </c>
      <c r="F5">
        <f>_xlfn.XLOOKUP(insurance_policy_data!H317,Sheet2!$N$3:$N$9,Sheet2!$O$3:$O$9,,-1)</f>
        <v>1.25</v>
      </c>
      <c r="G5">
        <f>_xlfn.XLOOKUP(insurance_policy_data!L317,Sheet2!$Q$3:$Q$4,Sheet2!$R$3:$R$4)</f>
        <v>0.75</v>
      </c>
      <c r="H5">
        <f>_xlfn.XLOOKUP(insurance_policy_data!N317,Sheet2!$T$3:$T$5,Sheet2!$U$3:$U$5,,-1)</f>
        <v>1</v>
      </c>
      <c r="I5">
        <f t="shared" si="0"/>
        <v>147.46875</v>
      </c>
    </row>
    <row r="6" spans="2:9" x14ac:dyDescent="0.3">
      <c r="B6">
        <f>_xlfn.XLOOKUP(insurance_policy_data!B221,Sheet2!$B$3:$B$8,Sheet2!$C$3:$C$8,,-1)</f>
        <v>1.21</v>
      </c>
      <c r="C6">
        <f>_xlfn.XLOOKUP(insurance_policy_data!I221,Sheet2!$E$3:$E$7,Sheet2!$F$3:$F$7,,-1)</f>
        <v>1.25</v>
      </c>
      <c r="D6">
        <f>_xlfn.XLOOKUP(insurance_policy_data!P221,Sheet2!$H$3:$H$5,Sheet2!$I$3:$I$5,,-1)</f>
        <v>1</v>
      </c>
      <c r="E6">
        <f>_xlfn.XLOOKUP(insurance_policy_data!M221,Sheet2!$K$3:$K$7,Sheet2!$L$3:$L$7,,-1)</f>
        <v>1.39</v>
      </c>
      <c r="F6">
        <f>_xlfn.XLOOKUP(insurance_policy_data!H221,Sheet2!$N$3:$N$9,Sheet2!$O$3:$O$9,,-1)</f>
        <v>1.2</v>
      </c>
      <c r="G6">
        <f>_xlfn.XLOOKUP(insurance_policy_data!L221,Sheet2!$Q$3:$Q$4,Sheet2!$R$3:$R$4)</f>
        <v>0.75</v>
      </c>
      <c r="H6">
        <f>_xlfn.XLOOKUP(insurance_policy_data!N221,Sheet2!$T$3:$T$5,Sheet2!$U$3:$U$5,,-1)</f>
        <v>1</v>
      </c>
      <c r="I6">
        <f t="shared" si="0"/>
        <v>151.37099999999998</v>
      </c>
    </row>
    <row r="7" spans="2:9" x14ac:dyDescent="0.3">
      <c r="B7">
        <f>_xlfn.XLOOKUP(insurance_policy_data!B12,Sheet2!$B$3:$B$8,Sheet2!$C$3:$C$8,,-1)</f>
        <v>1.21</v>
      </c>
      <c r="C7">
        <f>_xlfn.XLOOKUP(insurance_policy_data!I12,Sheet2!$E$3:$E$7,Sheet2!$F$3:$F$7,,-1)</f>
        <v>1.25</v>
      </c>
      <c r="D7">
        <f>_xlfn.XLOOKUP(insurance_policy_data!P12,Sheet2!$H$3:$H$5,Sheet2!$I$3:$I$5,,-1)</f>
        <v>1</v>
      </c>
      <c r="E7">
        <f>_xlfn.XLOOKUP(insurance_policy_data!M12,Sheet2!$K$3:$K$7,Sheet2!$L$3:$L$7,,-1)</f>
        <v>1.26</v>
      </c>
      <c r="F7">
        <f>_xlfn.XLOOKUP(insurance_policy_data!H12,Sheet2!$N$3:$N$9,Sheet2!$O$3:$O$9,,-1)</f>
        <v>1.33</v>
      </c>
      <c r="G7">
        <f>_xlfn.XLOOKUP(insurance_policy_data!L12,Sheet2!$Q$3:$Q$4,Sheet2!$R$3:$R$4)</f>
        <v>0.75</v>
      </c>
      <c r="H7">
        <f>_xlfn.XLOOKUP(insurance_policy_data!N12,Sheet2!$T$3:$T$5,Sheet2!$U$3:$U$5,,-1)</f>
        <v>1</v>
      </c>
      <c r="I7">
        <f t="shared" si="0"/>
        <v>152.07885000000002</v>
      </c>
    </row>
    <row r="8" spans="2:9" x14ac:dyDescent="0.3">
      <c r="B8">
        <f>_xlfn.XLOOKUP(insurance_policy_data!B154,Sheet2!$B$3:$B$8,Sheet2!$C$3:$C$8,,-1)</f>
        <v>1.25</v>
      </c>
      <c r="C8">
        <f>_xlfn.XLOOKUP(insurance_policy_data!I154,Sheet2!$E$3:$E$7,Sheet2!$F$3:$F$7,,-1)</f>
        <v>1.3</v>
      </c>
      <c r="D8">
        <f>_xlfn.XLOOKUP(insurance_policy_data!P154,Sheet2!$H$3:$H$5,Sheet2!$I$3:$I$5,,-1)</f>
        <v>1</v>
      </c>
      <c r="E8">
        <f>_xlfn.XLOOKUP(insurance_policy_data!M154,Sheet2!$K$3:$K$7,Sheet2!$L$3:$L$7,,-1)</f>
        <v>1.26</v>
      </c>
      <c r="F8">
        <f>_xlfn.XLOOKUP(insurance_policy_data!H154,Sheet2!$N$3:$N$9,Sheet2!$O$3:$O$9,,-1)</f>
        <v>1.25</v>
      </c>
      <c r="G8">
        <f>_xlfn.XLOOKUP(insurance_policy_data!L154,Sheet2!$Q$3:$Q$4,Sheet2!$R$3:$R$4)</f>
        <v>0.75</v>
      </c>
      <c r="H8">
        <f>_xlfn.XLOOKUP(insurance_policy_data!N154,Sheet2!$T$3:$T$5,Sheet2!$U$3:$U$5,,-1)</f>
        <v>1</v>
      </c>
      <c r="I8">
        <f t="shared" si="0"/>
        <v>153.5625</v>
      </c>
    </row>
    <row r="9" spans="2:9" x14ac:dyDescent="0.3">
      <c r="B9">
        <f>_xlfn.XLOOKUP(insurance_policy_data!B173,Sheet2!$B$3:$B$8,Sheet2!$C$3:$C$8,,-1)</f>
        <v>1.21</v>
      </c>
      <c r="C9">
        <f>_xlfn.XLOOKUP(insurance_policy_data!I173,Sheet2!$E$3:$E$7,Sheet2!$F$3:$F$7,,-1)</f>
        <v>1.25</v>
      </c>
      <c r="D9">
        <f>_xlfn.XLOOKUP(insurance_policy_data!P173,Sheet2!$H$3:$H$5,Sheet2!$I$3:$I$5,,-1)</f>
        <v>1</v>
      </c>
      <c r="E9">
        <f>_xlfn.XLOOKUP(insurance_policy_data!M173,Sheet2!$K$3:$K$7,Sheet2!$L$3:$L$7,,-1)</f>
        <v>1.3</v>
      </c>
      <c r="F9">
        <f>_xlfn.XLOOKUP(insurance_policy_data!H173,Sheet2!$N$3:$N$9,Sheet2!$O$3:$O$9,,-1)</f>
        <v>1.2</v>
      </c>
      <c r="G9">
        <f>_xlfn.XLOOKUP(insurance_policy_data!L173,Sheet2!$Q$3:$Q$4,Sheet2!$R$3:$R$4)</f>
        <v>0.75</v>
      </c>
      <c r="H9">
        <f>_xlfn.XLOOKUP(insurance_policy_data!N173,Sheet2!$T$3:$T$5,Sheet2!$U$3:$U$5,,-1)</f>
        <v>1.1000000000000001</v>
      </c>
      <c r="I9">
        <f t="shared" si="0"/>
        <v>155.727</v>
      </c>
    </row>
    <row r="10" spans="2:9" x14ac:dyDescent="0.3">
      <c r="B10">
        <f>_xlfn.XLOOKUP(insurance_policy_data!B115,Sheet2!$B$3:$B$8,Sheet2!$C$3:$C$8,,-1)</f>
        <v>1.21</v>
      </c>
      <c r="C10">
        <f>_xlfn.XLOOKUP(insurance_policy_data!I115,Sheet2!$E$3:$E$7,Sheet2!$F$3:$F$7,,-1)</f>
        <v>1.25</v>
      </c>
      <c r="D10">
        <f>_xlfn.XLOOKUP(insurance_policy_data!P115,Sheet2!$H$3:$H$5,Sheet2!$I$3:$I$5,,-1)</f>
        <v>1</v>
      </c>
      <c r="E10">
        <f>_xlfn.XLOOKUP(insurance_policy_data!M115,Sheet2!$K$3:$K$7,Sheet2!$L$3:$L$7,,-1)</f>
        <v>1.26</v>
      </c>
      <c r="F10">
        <f>_xlfn.XLOOKUP(insurance_policy_data!H115,Sheet2!$N$3:$N$9,Sheet2!$O$3:$O$9,,-1)</f>
        <v>1.25</v>
      </c>
      <c r="G10">
        <f>_xlfn.XLOOKUP(insurance_policy_data!L115,Sheet2!$Q$3:$Q$4,Sheet2!$R$3:$R$4)</f>
        <v>0.75</v>
      </c>
      <c r="H10">
        <f>_xlfn.XLOOKUP(insurance_policy_data!N115,Sheet2!$T$3:$T$5,Sheet2!$U$3:$U$5,,-1)</f>
        <v>1.1000000000000001</v>
      </c>
      <c r="I10">
        <f t="shared" si="0"/>
        <v>157.22437500000001</v>
      </c>
    </row>
    <row r="11" spans="2:9" x14ac:dyDescent="0.3">
      <c r="B11">
        <f>_xlfn.XLOOKUP(insurance_policy_data!B198,Sheet2!$B$3:$B$8,Sheet2!$C$3:$C$8,,-1)</f>
        <v>1.27</v>
      </c>
      <c r="C11">
        <f>_xlfn.XLOOKUP(insurance_policy_data!I198,Sheet2!$E$3:$E$7,Sheet2!$F$3:$F$7,,-1)</f>
        <v>1.25</v>
      </c>
      <c r="D11">
        <f>_xlfn.XLOOKUP(insurance_policy_data!P198,Sheet2!$H$3:$H$5,Sheet2!$I$3:$I$5,,-1)</f>
        <v>1</v>
      </c>
      <c r="E11">
        <f>_xlfn.XLOOKUP(insurance_policy_data!M198,Sheet2!$K$3:$K$7,Sheet2!$L$3:$L$7,,-1)</f>
        <v>1.39</v>
      </c>
      <c r="F11">
        <f>_xlfn.XLOOKUP(insurance_policy_data!H198,Sheet2!$N$3:$N$9,Sheet2!$O$3:$O$9,,-1)</f>
        <v>1.1000000000000001</v>
      </c>
      <c r="G11">
        <f>_xlfn.XLOOKUP(insurance_policy_data!L198,Sheet2!$Q$3:$Q$4,Sheet2!$R$3:$R$4)</f>
        <v>0.75</v>
      </c>
      <c r="H11">
        <f>_xlfn.XLOOKUP(insurance_policy_data!N198,Sheet2!$T$3:$T$5,Sheet2!$U$3:$U$5,,-1)</f>
        <v>1.1000000000000001</v>
      </c>
      <c r="I11">
        <f t="shared" si="0"/>
        <v>160.20097499999997</v>
      </c>
    </row>
    <row r="12" spans="2:9" x14ac:dyDescent="0.3">
      <c r="B12">
        <f>_xlfn.XLOOKUP(insurance_policy_data!B206,Sheet2!$B$3:$B$8,Sheet2!$C$3:$C$8,,-1)</f>
        <v>1.21</v>
      </c>
      <c r="C12">
        <f>_xlfn.XLOOKUP(insurance_policy_data!I206,Sheet2!$E$3:$E$7,Sheet2!$F$3:$F$7,,-1)</f>
        <v>1.25</v>
      </c>
      <c r="D12">
        <f>_xlfn.XLOOKUP(insurance_policy_data!P206,Sheet2!$H$3:$H$5,Sheet2!$I$3:$I$5,,-1)</f>
        <v>1</v>
      </c>
      <c r="E12">
        <f>_xlfn.XLOOKUP(insurance_policy_data!M206,Sheet2!$K$3:$K$7,Sheet2!$L$3:$L$7,,-1)</f>
        <v>1.39</v>
      </c>
      <c r="F12">
        <f>_xlfn.XLOOKUP(insurance_policy_data!H206,Sheet2!$N$3:$N$9,Sheet2!$O$3:$O$9,,-1)</f>
        <v>1.29</v>
      </c>
      <c r="G12">
        <f>_xlfn.XLOOKUP(insurance_policy_data!L206,Sheet2!$Q$3:$Q$4,Sheet2!$R$3:$R$4)</f>
        <v>0.75</v>
      </c>
      <c r="H12">
        <f>_xlfn.XLOOKUP(insurance_policy_data!N206,Sheet2!$T$3:$T$5,Sheet2!$U$3:$U$5,,-1)</f>
        <v>1</v>
      </c>
      <c r="I12">
        <f t="shared" si="0"/>
        <v>162.72382499999998</v>
      </c>
    </row>
    <row r="13" spans="2:9" x14ac:dyDescent="0.3">
      <c r="B13">
        <f>_xlfn.XLOOKUP(insurance_policy_data!B292,Sheet2!$B$3:$B$8,Sheet2!$C$3:$C$8,,-1)</f>
        <v>1.25</v>
      </c>
      <c r="C13">
        <f>_xlfn.XLOOKUP(insurance_policy_data!I292,Sheet2!$E$3:$E$7,Sheet2!$F$3:$F$7,,-1)</f>
        <v>1.3</v>
      </c>
      <c r="D13">
        <f>_xlfn.XLOOKUP(insurance_policy_data!P292,Sheet2!$H$3:$H$5,Sheet2!$I$3:$I$5,,-1)</f>
        <v>1</v>
      </c>
      <c r="E13">
        <f>_xlfn.XLOOKUP(insurance_policy_data!M292,Sheet2!$K$3:$K$7,Sheet2!$L$3:$L$7,,-1)</f>
        <v>1.4</v>
      </c>
      <c r="F13">
        <f>_xlfn.XLOOKUP(insurance_policy_data!H292,Sheet2!$N$3:$N$9,Sheet2!$O$3:$O$9,,-1)</f>
        <v>1.2</v>
      </c>
      <c r="G13">
        <f>_xlfn.XLOOKUP(insurance_policy_data!L292,Sheet2!$Q$3:$Q$4,Sheet2!$R$3:$R$4)</f>
        <v>0.75</v>
      </c>
      <c r="H13">
        <f>_xlfn.XLOOKUP(insurance_policy_data!N292,Sheet2!$T$3:$T$5,Sheet2!$U$3:$U$5,,-1)</f>
        <v>1</v>
      </c>
      <c r="I13">
        <f t="shared" si="0"/>
        <v>163.79999999999998</v>
      </c>
    </row>
    <row r="14" spans="2:9" x14ac:dyDescent="0.3">
      <c r="B14">
        <f>_xlfn.XLOOKUP(insurance_policy_data!B39,Sheet2!$B$3:$B$8,Sheet2!$C$3:$C$8,,-1)</f>
        <v>1.21</v>
      </c>
      <c r="C14">
        <f>_xlfn.XLOOKUP(insurance_policy_data!I39,Sheet2!$E$3:$E$7,Sheet2!$F$3:$F$7,,-1)</f>
        <v>1.25</v>
      </c>
      <c r="D14">
        <f>_xlfn.XLOOKUP(insurance_policy_data!P39,Sheet2!$H$3:$H$5,Sheet2!$I$3:$I$5,,-1)</f>
        <v>1</v>
      </c>
      <c r="E14">
        <f>_xlfn.XLOOKUP(insurance_policy_data!M39,Sheet2!$K$3:$K$7,Sheet2!$L$3:$L$7,,-1)</f>
        <v>1.26</v>
      </c>
      <c r="F14">
        <f>_xlfn.XLOOKUP(insurance_policy_data!H39,Sheet2!$N$3:$N$9,Sheet2!$O$3:$O$9,,-1)</f>
        <v>1.33</v>
      </c>
      <c r="G14">
        <f>_xlfn.XLOOKUP(insurance_policy_data!L39,Sheet2!$Q$3:$Q$4,Sheet2!$R$3:$R$4)</f>
        <v>0.75</v>
      </c>
      <c r="H14">
        <f>_xlfn.XLOOKUP(insurance_policy_data!N39,Sheet2!$T$3:$T$5,Sheet2!$U$3:$U$5,,-1)</f>
        <v>1.1000000000000001</v>
      </c>
      <c r="I14">
        <f t="shared" si="0"/>
        <v>167.28673500000002</v>
      </c>
    </row>
    <row r="15" spans="2:9" x14ac:dyDescent="0.3">
      <c r="B15">
        <f>_xlfn.XLOOKUP(insurance_policy_data!B105,Sheet2!$B$3:$B$8,Sheet2!$C$3:$C$8,,-1)</f>
        <v>1.21</v>
      </c>
      <c r="C15">
        <f>_xlfn.XLOOKUP(insurance_policy_data!I105,Sheet2!$E$3:$E$7,Sheet2!$F$3:$F$7,,-1)</f>
        <v>1.25</v>
      </c>
      <c r="D15">
        <f>_xlfn.XLOOKUP(insurance_policy_data!P105,Sheet2!$H$3:$H$5,Sheet2!$I$3:$I$5,,-1)</f>
        <v>1</v>
      </c>
      <c r="E15">
        <f>_xlfn.XLOOKUP(insurance_policy_data!M105,Sheet2!$K$3:$K$7,Sheet2!$L$3:$L$7,,-1)</f>
        <v>1.4</v>
      </c>
      <c r="F15">
        <f>_xlfn.XLOOKUP(insurance_policy_data!H105,Sheet2!$N$3:$N$9,Sheet2!$O$3:$O$9,,-1)</f>
        <v>1.2</v>
      </c>
      <c r="G15">
        <f>_xlfn.XLOOKUP(insurance_policy_data!L105,Sheet2!$Q$3:$Q$4,Sheet2!$R$3:$R$4)</f>
        <v>0.75</v>
      </c>
      <c r="H15">
        <f>_xlfn.XLOOKUP(insurance_policy_data!N105,Sheet2!$T$3:$T$5,Sheet2!$U$3:$U$5,,-1)</f>
        <v>1.1000000000000001</v>
      </c>
      <c r="I15">
        <f t="shared" si="0"/>
        <v>167.70599999999999</v>
      </c>
    </row>
    <row r="16" spans="2:9" x14ac:dyDescent="0.3">
      <c r="B16">
        <f>_xlfn.XLOOKUP(insurance_policy_data!B235,Sheet2!$B$3:$B$8,Sheet2!$C$3:$C$8,,-1)</f>
        <v>1.21</v>
      </c>
      <c r="C16">
        <f>_xlfn.XLOOKUP(insurance_policy_data!I235,Sheet2!$E$3:$E$7,Sheet2!$F$3:$F$7,,-1)</f>
        <v>1.25</v>
      </c>
      <c r="D16">
        <f>_xlfn.XLOOKUP(insurance_policy_data!P235,Sheet2!$H$3:$H$5,Sheet2!$I$3:$I$5,,-1)</f>
        <v>1</v>
      </c>
      <c r="E16">
        <f>_xlfn.XLOOKUP(insurance_policy_data!M235,Sheet2!$K$3:$K$7,Sheet2!$L$3:$L$7,,-1)</f>
        <v>1.4</v>
      </c>
      <c r="F16">
        <f>_xlfn.XLOOKUP(insurance_policy_data!H235,Sheet2!$N$3:$N$9,Sheet2!$O$3:$O$9,,-1)</f>
        <v>1.1000000000000001</v>
      </c>
      <c r="G16">
        <f>_xlfn.XLOOKUP(insurance_policy_data!L235,Sheet2!$Q$3:$Q$4,Sheet2!$R$3:$R$4)</f>
        <v>0.75</v>
      </c>
      <c r="H16">
        <f>_xlfn.XLOOKUP(insurance_policy_data!N235,Sheet2!$T$3:$T$5,Sheet2!$U$3:$U$5,,-1)</f>
        <v>1.2</v>
      </c>
      <c r="I16">
        <f t="shared" si="0"/>
        <v>167.70599999999999</v>
      </c>
    </row>
    <row r="17" spans="2:9" x14ac:dyDescent="0.3">
      <c r="B17">
        <f>_xlfn.XLOOKUP(insurance_policy_data!B301,Sheet2!$B$3:$B$8,Sheet2!$C$3:$C$8,,-1)</f>
        <v>1.21</v>
      </c>
      <c r="C17">
        <f>_xlfn.XLOOKUP(insurance_policy_data!I301,Sheet2!$E$3:$E$7,Sheet2!$F$3:$F$7,,-1)</f>
        <v>1.25</v>
      </c>
      <c r="D17">
        <f>_xlfn.XLOOKUP(insurance_policy_data!P301,Sheet2!$H$3:$H$5,Sheet2!$I$3:$I$5,,-1)</f>
        <v>1</v>
      </c>
      <c r="E17">
        <f>_xlfn.XLOOKUP(insurance_policy_data!M301,Sheet2!$K$3:$K$7,Sheet2!$L$3:$L$7,,-1)</f>
        <v>1.3</v>
      </c>
      <c r="F17">
        <f>_xlfn.XLOOKUP(insurance_policy_data!H301,Sheet2!$N$3:$N$9,Sheet2!$O$3:$O$9,,-1)</f>
        <v>1.2</v>
      </c>
      <c r="G17">
        <f>_xlfn.XLOOKUP(insurance_policy_data!L301,Sheet2!$Q$3:$Q$4,Sheet2!$R$3:$R$4)</f>
        <v>0.75</v>
      </c>
      <c r="H17">
        <f>_xlfn.XLOOKUP(insurance_policy_data!N301,Sheet2!$T$3:$T$5,Sheet2!$U$3:$U$5,,-1)</f>
        <v>1.2</v>
      </c>
      <c r="I17">
        <f t="shared" si="0"/>
        <v>169.88399999999999</v>
      </c>
    </row>
    <row r="18" spans="2:9" x14ac:dyDescent="0.3">
      <c r="B18">
        <f>_xlfn.XLOOKUP(insurance_policy_data!B10,Sheet2!$B$3:$B$8,Sheet2!$C$3:$C$8,,-1)</f>
        <v>1.21</v>
      </c>
      <c r="C18">
        <f>_xlfn.XLOOKUP(insurance_policy_data!I10,Sheet2!$E$3:$E$7,Sheet2!$F$3:$F$7,,-1)</f>
        <v>1.25</v>
      </c>
      <c r="D18">
        <f>_xlfn.XLOOKUP(insurance_policy_data!P10,Sheet2!$H$3:$H$5,Sheet2!$I$3:$I$5,,-1)</f>
        <v>1</v>
      </c>
      <c r="E18">
        <f>_xlfn.XLOOKUP(insurance_policy_data!M10,Sheet2!$K$3:$K$7,Sheet2!$L$3:$L$7,,-1)</f>
        <v>1.4</v>
      </c>
      <c r="F18">
        <f>_xlfn.XLOOKUP(insurance_policy_data!H10,Sheet2!$N$3:$N$9,Sheet2!$O$3:$O$9,,-1)</f>
        <v>1.36</v>
      </c>
      <c r="G18">
        <f>_xlfn.XLOOKUP(insurance_policy_data!L10,Sheet2!$Q$3:$Q$4,Sheet2!$R$3:$R$4)</f>
        <v>0.75</v>
      </c>
      <c r="H18">
        <f>_xlfn.XLOOKUP(insurance_policy_data!N10,Sheet2!$T$3:$T$5,Sheet2!$U$3:$U$5,,-1)</f>
        <v>1</v>
      </c>
      <c r="I18">
        <f t="shared" si="0"/>
        <v>172.78800000000001</v>
      </c>
    </row>
    <row r="19" spans="2:9" x14ac:dyDescent="0.3">
      <c r="B19">
        <f>_xlfn.XLOOKUP(insurance_policy_data!B93,Sheet2!$B$3:$B$8,Sheet2!$C$3:$C$8,,-1)</f>
        <v>1.21</v>
      </c>
      <c r="C19">
        <f>_xlfn.XLOOKUP(insurance_policy_data!I93,Sheet2!$E$3:$E$7,Sheet2!$F$3:$F$7,,-1)</f>
        <v>1.25</v>
      </c>
      <c r="D19">
        <f>_xlfn.XLOOKUP(insurance_policy_data!P93,Sheet2!$H$3:$H$5,Sheet2!$I$3:$I$5,,-1)</f>
        <v>1</v>
      </c>
      <c r="E19">
        <f>_xlfn.XLOOKUP(insurance_policy_data!M93,Sheet2!$K$3:$K$7,Sheet2!$L$3:$L$7,,-1)</f>
        <v>1.39</v>
      </c>
      <c r="F19">
        <f>_xlfn.XLOOKUP(insurance_policy_data!H93,Sheet2!$N$3:$N$9,Sheet2!$O$3:$O$9,,-1)</f>
        <v>1.25</v>
      </c>
      <c r="G19">
        <f>_xlfn.XLOOKUP(insurance_policy_data!L93,Sheet2!$Q$3:$Q$4,Sheet2!$R$3:$R$4)</f>
        <v>0.75</v>
      </c>
      <c r="H19">
        <f>_xlfn.XLOOKUP(insurance_policy_data!N93,Sheet2!$T$3:$T$5,Sheet2!$U$3:$U$5,,-1)</f>
        <v>1.1000000000000001</v>
      </c>
      <c r="I19">
        <f t="shared" si="0"/>
        <v>173.44593750000001</v>
      </c>
    </row>
    <row r="20" spans="2:9" x14ac:dyDescent="0.3">
      <c r="B20">
        <f>_xlfn.XLOOKUP(insurance_policy_data!B81,Sheet2!$B$3:$B$8,Sheet2!$C$3:$C$8,,-1)</f>
        <v>1.34</v>
      </c>
      <c r="C20">
        <f>_xlfn.XLOOKUP(insurance_policy_data!I81,Sheet2!$E$3:$E$7,Sheet2!$F$3:$F$7,,-1)</f>
        <v>1.3</v>
      </c>
      <c r="D20">
        <f>_xlfn.XLOOKUP(insurance_policy_data!P81,Sheet2!$H$3:$H$5,Sheet2!$I$3:$I$5,,-1)</f>
        <v>1</v>
      </c>
      <c r="E20">
        <f>_xlfn.XLOOKUP(insurance_policy_data!M81,Sheet2!$K$3:$K$7,Sheet2!$L$3:$L$7,,-1)</f>
        <v>1.4</v>
      </c>
      <c r="F20">
        <f>_xlfn.XLOOKUP(insurance_policy_data!H81,Sheet2!$N$3:$N$9,Sheet2!$O$3:$O$9,,-1)</f>
        <v>1.2</v>
      </c>
      <c r="G20">
        <f>_xlfn.XLOOKUP(insurance_policy_data!L81,Sheet2!$Q$3:$Q$4,Sheet2!$R$3:$R$4)</f>
        <v>0.75</v>
      </c>
      <c r="H20">
        <f>_xlfn.XLOOKUP(insurance_policy_data!N81,Sheet2!$T$3:$T$5,Sheet2!$U$3:$U$5,,-1)</f>
        <v>1</v>
      </c>
      <c r="I20">
        <f t="shared" si="0"/>
        <v>175.59359999999998</v>
      </c>
    </row>
    <row r="21" spans="2:9" x14ac:dyDescent="0.3">
      <c r="B21">
        <f>_xlfn.XLOOKUP(insurance_policy_data!B203,Sheet2!$B$3:$B$8,Sheet2!$C$3:$C$8,,-1)</f>
        <v>1.34</v>
      </c>
      <c r="C21">
        <f>_xlfn.XLOOKUP(insurance_policy_data!I203,Sheet2!$E$3:$E$7,Sheet2!$F$3:$F$7,,-1)</f>
        <v>1.3</v>
      </c>
      <c r="D21">
        <f>_xlfn.XLOOKUP(insurance_policy_data!P203,Sheet2!$H$3:$H$5,Sheet2!$I$3:$I$5,,-1)</f>
        <v>1</v>
      </c>
      <c r="E21">
        <f>_xlfn.XLOOKUP(insurance_policy_data!M203,Sheet2!$K$3:$K$7,Sheet2!$L$3:$L$7,,-1)</f>
        <v>1.4</v>
      </c>
      <c r="F21">
        <f>_xlfn.XLOOKUP(insurance_policy_data!H203,Sheet2!$N$3:$N$9,Sheet2!$O$3:$O$9,,-1)</f>
        <v>1.2</v>
      </c>
      <c r="G21">
        <f>_xlfn.XLOOKUP(insurance_policy_data!L203,Sheet2!$Q$3:$Q$4,Sheet2!$R$3:$R$4)</f>
        <v>0.75</v>
      </c>
      <c r="H21">
        <f>_xlfn.XLOOKUP(insurance_policy_data!N203,Sheet2!$T$3:$T$5,Sheet2!$U$3:$U$5,,-1)</f>
        <v>1</v>
      </c>
      <c r="I21">
        <f t="shared" si="0"/>
        <v>175.59359999999998</v>
      </c>
    </row>
    <row r="22" spans="2:9" x14ac:dyDescent="0.3">
      <c r="B22">
        <f>_xlfn.XLOOKUP(insurance_policy_data!B204,Sheet2!$B$3:$B$8,Sheet2!$C$3:$C$8,,-1)</f>
        <v>1.34</v>
      </c>
      <c r="C22">
        <f>_xlfn.XLOOKUP(insurance_policy_data!I204,Sheet2!$E$3:$E$7,Sheet2!$F$3:$F$7,,-1)</f>
        <v>1.3</v>
      </c>
      <c r="D22">
        <f>_xlfn.XLOOKUP(insurance_policy_data!P204,Sheet2!$H$3:$H$5,Sheet2!$I$3:$I$5,,-1)</f>
        <v>1</v>
      </c>
      <c r="E22">
        <f>_xlfn.XLOOKUP(insurance_policy_data!M204,Sheet2!$K$3:$K$7,Sheet2!$L$3:$L$7,,-1)</f>
        <v>1.4</v>
      </c>
      <c r="F22">
        <f>_xlfn.XLOOKUP(insurance_policy_data!H204,Sheet2!$N$3:$N$9,Sheet2!$O$3:$O$9,,-1)</f>
        <v>1.2</v>
      </c>
      <c r="G22">
        <f>_xlfn.XLOOKUP(insurance_policy_data!L204,Sheet2!$Q$3:$Q$4,Sheet2!$R$3:$R$4)</f>
        <v>0.75</v>
      </c>
      <c r="H22">
        <f>_xlfn.XLOOKUP(insurance_policy_data!N204,Sheet2!$T$3:$T$5,Sheet2!$U$3:$U$5,,-1)</f>
        <v>1</v>
      </c>
      <c r="I22">
        <f t="shared" si="0"/>
        <v>175.59359999999998</v>
      </c>
    </row>
    <row r="23" spans="2:9" x14ac:dyDescent="0.3">
      <c r="B23">
        <f>_xlfn.XLOOKUP(insurance_policy_data!B290,Sheet2!$B$3:$B$8,Sheet2!$C$3:$C$8,,-1)</f>
        <v>1.27</v>
      </c>
      <c r="C23">
        <f>_xlfn.XLOOKUP(insurance_policy_data!I290,Sheet2!$E$3:$E$7,Sheet2!$F$3:$F$7,,-1)</f>
        <v>1.25</v>
      </c>
      <c r="D23">
        <f>_xlfn.XLOOKUP(insurance_policy_data!P290,Sheet2!$H$3:$H$5,Sheet2!$I$3:$I$5,,-1)</f>
        <v>1</v>
      </c>
      <c r="E23">
        <f>_xlfn.XLOOKUP(insurance_policy_data!M290,Sheet2!$K$3:$K$7,Sheet2!$L$3:$L$7,,-1)</f>
        <v>1.3</v>
      </c>
      <c r="F23">
        <f>_xlfn.XLOOKUP(insurance_policy_data!H290,Sheet2!$N$3:$N$9,Sheet2!$O$3:$O$9,,-1)</f>
        <v>1.29</v>
      </c>
      <c r="G23">
        <f>_xlfn.XLOOKUP(insurance_policy_data!L290,Sheet2!$Q$3:$Q$4,Sheet2!$R$3:$R$4)</f>
        <v>0.75</v>
      </c>
      <c r="H23">
        <f>_xlfn.XLOOKUP(insurance_policy_data!N290,Sheet2!$T$3:$T$5,Sheet2!$U$3:$U$5,,-1)</f>
        <v>1.1000000000000001</v>
      </c>
      <c r="I23">
        <f t="shared" si="0"/>
        <v>175.70767499999999</v>
      </c>
    </row>
    <row r="24" spans="2:9" x14ac:dyDescent="0.3">
      <c r="B24">
        <f>_xlfn.XLOOKUP(insurance_policy_data!B26,Sheet2!$B$3:$B$8,Sheet2!$C$3:$C$8,,-1)</f>
        <v>1.35</v>
      </c>
      <c r="C24">
        <f>_xlfn.XLOOKUP(insurance_policy_data!I26,Sheet2!$E$3:$E$7,Sheet2!$F$3:$F$7,,-1)</f>
        <v>1.31</v>
      </c>
      <c r="D24">
        <f>_xlfn.XLOOKUP(insurance_policy_data!P26,Sheet2!$H$3:$H$5,Sheet2!$I$3:$I$5,,-1)</f>
        <v>1</v>
      </c>
      <c r="E24">
        <f>_xlfn.XLOOKUP(insurance_policy_data!M26,Sheet2!$K$3:$K$7,Sheet2!$L$3:$L$7,,-1)</f>
        <v>1.26</v>
      </c>
      <c r="F24">
        <f>_xlfn.XLOOKUP(insurance_policy_data!H26,Sheet2!$N$3:$N$9,Sheet2!$O$3:$O$9,,-1)</f>
        <v>1.1000000000000001</v>
      </c>
      <c r="G24">
        <f>_xlfn.XLOOKUP(insurance_policy_data!L26,Sheet2!$Q$3:$Q$4,Sheet2!$R$3:$R$4)</f>
        <v>0.75</v>
      </c>
      <c r="H24">
        <f>_xlfn.XLOOKUP(insurance_policy_data!N26,Sheet2!$T$3:$T$5,Sheet2!$U$3:$U$5,,-1)</f>
        <v>1.2</v>
      </c>
      <c r="I24">
        <f t="shared" si="0"/>
        <v>176.48215200000004</v>
      </c>
    </row>
    <row r="25" spans="2:9" x14ac:dyDescent="0.3">
      <c r="B25">
        <f>_xlfn.XLOOKUP(insurance_policy_data!B8,Sheet2!$B$3:$B$8,Sheet2!$C$3:$C$8,,-1)</f>
        <v>1.25</v>
      </c>
      <c r="C25">
        <f>_xlfn.XLOOKUP(insurance_policy_data!I8,Sheet2!$E$3:$E$7,Sheet2!$F$3:$F$7,,-1)</f>
        <v>1.3</v>
      </c>
      <c r="D25">
        <f>_xlfn.XLOOKUP(insurance_policy_data!P8,Sheet2!$H$3:$H$5,Sheet2!$I$3:$I$5,,-1)</f>
        <v>1</v>
      </c>
      <c r="E25">
        <f>_xlfn.XLOOKUP(insurance_policy_data!M8,Sheet2!$K$3:$K$7,Sheet2!$L$3:$L$7,,-1)</f>
        <v>1.26</v>
      </c>
      <c r="F25">
        <f>_xlfn.XLOOKUP(insurance_policy_data!H8,Sheet2!$N$3:$N$9,Sheet2!$O$3:$O$9,,-1)</f>
        <v>1.2</v>
      </c>
      <c r="G25">
        <f>_xlfn.XLOOKUP(insurance_policy_data!L8,Sheet2!$Q$3:$Q$4,Sheet2!$R$3:$R$4)</f>
        <v>0.75</v>
      </c>
      <c r="H25">
        <f>_xlfn.XLOOKUP(insurance_policy_data!N8,Sheet2!$T$3:$T$5,Sheet2!$U$3:$U$5,,-1)</f>
        <v>1.2</v>
      </c>
      <c r="I25">
        <f t="shared" si="0"/>
        <v>176.90399999999997</v>
      </c>
    </row>
    <row r="26" spans="2:9" x14ac:dyDescent="0.3">
      <c r="B26">
        <f>_xlfn.XLOOKUP(insurance_policy_data!B168,Sheet2!$B$3:$B$8,Sheet2!$C$3:$C$8,,-1)</f>
        <v>1.21</v>
      </c>
      <c r="C26">
        <f>_xlfn.XLOOKUP(insurance_policy_data!I168,Sheet2!$E$3:$E$7,Sheet2!$F$3:$F$7,,-1)</f>
        <v>1.25</v>
      </c>
      <c r="D26">
        <f>_xlfn.XLOOKUP(insurance_policy_data!P168,Sheet2!$H$3:$H$5,Sheet2!$I$3:$I$5,,-1)</f>
        <v>1</v>
      </c>
      <c r="E26">
        <f>_xlfn.XLOOKUP(insurance_policy_data!M168,Sheet2!$K$3:$K$7,Sheet2!$L$3:$L$7,,-1)</f>
        <v>1.39</v>
      </c>
      <c r="F26">
        <f>_xlfn.XLOOKUP(insurance_policy_data!H168,Sheet2!$N$3:$N$9,Sheet2!$O$3:$O$9,,-1)</f>
        <v>1.29</v>
      </c>
      <c r="G26">
        <f>_xlfn.XLOOKUP(insurance_policy_data!L168,Sheet2!$Q$3:$Q$4,Sheet2!$R$3:$R$4)</f>
        <v>0.75</v>
      </c>
      <c r="H26">
        <f>_xlfn.XLOOKUP(insurance_policy_data!N168,Sheet2!$T$3:$T$5,Sheet2!$U$3:$U$5,,-1)</f>
        <v>1.1000000000000001</v>
      </c>
      <c r="I26">
        <f t="shared" si="0"/>
        <v>178.9962075</v>
      </c>
    </row>
    <row r="27" spans="2:9" x14ac:dyDescent="0.3">
      <c r="B27">
        <f>_xlfn.XLOOKUP(insurance_policy_data!B169,Sheet2!$B$3:$B$8,Sheet2!$C$3:$C$8,,-1)</f>
        <v>1.21</v>
      </c>
      <c r="C27">
        <f>_xlfn.XLOOKUP(insurance_policy_data!I169,Sheet2!$E$3:$E$7,Sheet2!$F$3:$F$7,,-1)</f>
        <v>1.25</v>
      </c>
      <c r="D27">
        <f>_xlfn.XLOOKUP(insurance_policy_data!P169,Sheet2!$H$3:$H$5,Sheet2!$I$3:$I$5,,-1)</f>
        <v>1</v>
      </c>
      <c r="E27">
        <f>_xlfn.XLOOKUP(insurance_policy_data!M169,Sheet2!$K$3:$K$7,Sheet2!$L$3:$L$7,,-1)</f>
        <v>1.39</v>
      </c>
      <c r="F27">
        <f>_xlfn.XLOOKUP(insurance_policy_data!H169,Sheet2!$N$3:$N$9,Sheet2!$O$3:$O$9,,-1)</f>
        <v>1.29</v>
      </c>
      <c r="G27">
        <f>_xlfn.XLOOKUP(insurance_policy_data!L169,Sheet2!$Q$3:$Q$4,Sheet2!$R$3:$R$4)</f>
        <v>0.75</v>
      </c>
      <c r="H27">
        <f>_xlfn.XLOOKUP(insurance_policy_data!N169,Sheet2!$T$3:$T$5,Sheet2!$U$3:$U$5,,-1)</f>
        <v>1.1000000000000001</v>
      </c>
      <c r="I27">
        <f t="shared" si="0"/>
        <v>178.9962075</v>
      </c>
    </row>
    <row r="28" spans="2:9" x14ac:dyDescent="0.3">
      <c r="B28">
        <f>_xlfn.XLOOKUP(insurance_policy_data!B68,Sheet2!$B$3:$B$8,Sheet2!$C$3:$C$8,,-1)</f>
        <v>1.21</v>
      </c>
      <c r="C28">
        <f>_xlfn.XLOOKUP(insurance_policy_data!I68,Sheet2!$E$3:$E$7,Sheet2!$F$3:$F$7,,-1)</f>
        <v>1.25</v>
      </c>
      <c r="D28">
        <f>_xlfn.XLOOKUP(insurance_policy_data!P68,Sheet2!$H$3:$H$5,Sheet2!$I$3:$I$5,,-1)</f>
        <v>1</v>
      </c>
      <c r="E28">
        <f>_xlfn.XLOOKUP(insurance_policy_data!M68,Sheet2!$K$3:$K$7,Sheet2!$L$3:$L$7,,-1)</f>
        <v>1.4</v>
      </c>
      <c r="F28">
        <f>_xlfn.XLOOKUP(insurance_policy_data!H68,Sheet2!$N$3:$N$9,Sheet2!$O$3:$O$9,,-1)</f>
        <v>1.29</v>
      </c>
      <c r="G28">
        <f>_xlfn.XLOOKUP(insurance_policy_data!L68,Sheet2!$Q$3:$Q$4,Sheet2!$R$3:$R$4)</f>
        <v>0.75</v>
      </c>
      <c r="H28">
        <f>_xlfn.XLOOKUP(insurance_policy_data!N68,Sheet2!$T$3:$T$5,Sheet2!$U$3:$U$5,,-1)</f>
        <v>1.1000000000000001</v>
      </c>
      <c r="I28">
        <f t="shared" si="0"/>
        <v>180.28395000000003</v>
      </c>
    </row>
    <row r="29" spans="2:9" x14ac:dyDescent="0.3">
      <c r="B29">
        <f>_xlfn.XLOOKUP(insurance_policy_data!B194,Sheet2!$B$3:$B$8,Sheet2!$C$3:$C$8,,-1)</f>
        <v>1.27</v>
      </c>
      <c r="C29">
        <f>_xlfn.XLOOKUP(insurance_policy_data!I194,Sheet2!$E$3:$E$7,Sheet2!$F$3:$F$7,,-1)</f>
        <v>1.25</v>
      </c>
      <c r="D29">
        <f>_xlfn.XLOOKUP(insurance_policy_data!P194,Sheet2!$H$3:$H$5,Sheet2!$I$3:$I$5,,-1)</f>
        <v>1</v>
      </c>
      <c r="E29">
        <f>_xlfn.XLOOKUP(insurance_policy_data!M194,Sheet2!$K$3:$K$7,Sheet2!$L$3:$L$7,,-1)</f>
        <v>1.4</v>
      </c>
      <c r="F29">
        <f>_xlfn.XLOOKUP(insurance_policy_data!H194,Sheet2!$N$3:$N$9,Sheet2!$O$3:$O$9,,-1)</f>
        <v>1.36</v>
      </c>
      <c r="G29">
        <f>_xlfn.XLOOKUP(insurance_policy_data!L194,Sheet2!$Q$3:$Q$4,Sheet2!$R$3:$R$4)</f>
        <v>0.75</v>
      </c>
      <c r="H29">
        <f>_xlfn.XLOOKUP(insurance_policy_data!N194,Sheet2!$T$3:$T$5,Sheet2!$U$3:$U$5,,-1)</f>
        <v>1</v>
      </c>
      <c r="I29">
        <f t="shared" si="0"/>
        <v>181.35599999999997</v>
      </c>
    </row>
    <row r="30" spans="2:9" x14ac:dyDescent="0.3">
      <c r="B30">
        <f>_xlfn.XLOOKUP(insurance_policy_data!B18,Sheet2!$B$3:$B$8,Sheet2!$C$3:$C$8,,-1)</f>
        <v>1.27</v>
      </c>
      <c r="C30">
        <f>_xlfn.XLOOKUP(insurance_policy_data!I18,Sheet2!$E$3:$E$7,Sheet2!$F$3:$F$7,,-1)</f>
        <v>1.25</v>
      </c>
      <c r="D30">
        <f>_xlfn.XLOOKUP(insurance_policy_data!P18,Sheet2!$H$3:$H$5,Sheet2!$I$3:$I$5,,-1)</f>
        <v>1</v>
      </c>
      <c r="E30">
        <f>_xlfn.XLOOKUP(insurance_policy_data!M18,Sheet2!$K$3:$K$7,Sheet2!$L$3:$L$7,,-1)</f>
        <v>1.39</v>
      </c>
      <c r="F30">
        <f>_xlfn.XLOOKUP(insurance_policy_data!H18,Sheet2!$N$3:$N$9,Sheet2!$O$3:$O$9,,-1)</f>
        <v>1.25</v>
      </c>
      <c r="G30">
        <f>_xlfn.XLOOKUP(insurance_policy_data!L18,Sheet2!$Q$3:$Q$4,Sheet2!$R$3:$R$4)</f>
        <v>0.75</v>
      </c>
      <c r="H30">
        <f>_xlfn.XLOOKUP(insurance_policy_data!N18,Sheet2!$T$3:$T$5,Sheet2!$U$3:$U$5,,-1)</f>
        <v>1.1000000000000001</v>
      </c>
      <c r="I30">
        <f t="shared" si="0"/>
        <v>182.04656249999999</v>
      </c>
    </row>
    <row r="31" spans="2:9" x14ac:dyDescent="0.3">
      <c r="B31">
        <f>_xlfn.XLOOKUP(insurance_policy_data!B228,Sheet2!$B$3:$B$8,Sheet2!$C$3:$C$8,,-1)</f>
        <v>1.34</v>
      </c>
      <c r="C31">
        <f>_xlfn.XLOOKUP(insurance_policy_data!I228,Sheet2!$E$3:$E$7,Sheet2!$F$3:$F$7,,-1)</f>
        <v>1.31</v>
      </c>
      <c r="D31">
        <f>_xlfn.XLOOKUP(insurance_policy_data!P228,Sheet2!$H$3:$H$5,Sheet2!$I$3:$I$5,,-1)</f>
        <v>1</v>
      </c>
      <c r="E31">
        <f>_xlfn.XLOOKUP(insurance_policy_data!M228,Sheet2!$K$3:$K$7,Sheet2!$L$3:$L$7,,-1)</f>
        <v>1.3</v>
      </c>
      <c r="F31">
        <f>_xlfn.XLOOKUP(insurance_policy_data!H228,Sheet2!$N$3:$N$9,Sheet2!$O$3:$O$9,,-1)</f>
        <v>1.33</v>
      </c>
      <c r="G31">
        <f>_xlfn.XLOOKUP(insurance_policy_data!L228,Sheet2!$Q$3:$Q$4,Sheet2!$R$3:$R$4)</f>
        <v>0.75</v>
      </c>
      <c r="H31">
        <f>_xlfn.XLOOKUP(insurance_policy_data!N228,Sheet2!$T$3:$T$5,Sheet2!$U$3:$U$5,,-1)</f>
        <v>1</v>
      </c>
      <c r="I31">
        <f t="shared" si="0"/>
        <v>182.10519600000003</v>
      </c>
    </row>
    <row r="32" spans="2:9" x14ac:dyDescent="0.3">
      <c r="B32">
        <f>_xlfn.XLOOKUP(insurance_policy_data!B50,Sheet2!$B$3:$B$8,Sheet2!$C$3:$C$8,,-1)</f>
        <v>1.21</v>
      </c>
      <c r="C32">
        <f>_xlfn.XLOOKUP(insurance_policy_data!I50,Sheet2!$E$3:$E$7,Sheet2!$F$3:$F$7,,-1)</f>
        <v>1.25</v>
      </c>
      <c r="D32">
        <f>_xlfn.XLOOKUP(insurance_policy_data!P50,Sheet2!$H$3:$H$5,Sheet2!$I$3:$I$5,,-1)</f>
        <v>1</v>
      </c>
      <c r="E32">
        <f>_xlfn.XLOOKUP(insurance_policy_data!M50,Sheet2!$K$3:$K$7,Sheet2!$L$3:$L$7,,-1)</f>
        <v>1.3</v>
      </c>
      <c r="F32">
        <f>_xlfn.XLOOKUP(insurance_policy_data!H50,Sheet2!$N$3:$N$9,Sheet2!$O$3:$O$9,,-1)</f>
        <v>1.29</v>
      </c>
      <c r="G32">
        <f>_xlfn.XLOOKUP(insurance_policy_data!L50,Sheet2!$Q$3:$Q$4,Sheet2!$R$3:$R$4)</f>
        <v>0.75</v>
      </c>
      <c r="H32">
        <f>_xlfn.XLOOKUP(insurance_policy_data!N50,Sheet2!$T$3:$T$5,Sheet2!$U$3:$U$5,,-1)</f>
        <v>1.2</v>
      </c>
      <c r="I32">
        <f t="shared" si="0"/>
        <v>182.62530000000001</v>
      </c>
    </row>
    <row r="33" spans="2:9" x14ac:dyDescent="0.3">
      <c r="B33">
        <f>_xlfn.XLOOKUP(insurance_policy_data!B285,Sheet2!$B$3:$B$8,Sheet2!$C$3:$C$8,,-1)</f>
        <v>1.34</v>
      </c>
      <c r="C33">
        <f>_xlfn.XLOOKUP(insurance_policy_data!I285,Sheet2!$E$3:$E$7,Sheet2!$F$3:$F$7,,-1)</f>
        <v>1.31</v>
      </c>
      <c r="D33">
        <f>_xlfn.XLOOKUP(insurance_policy_data!P285,Sheet2!$H$3:$H$5,Sheet2!$I$3:$I$5,,-1)</f>
        <v>1</v>
      </c>
      <c r="E33">
        <f>_xlfn.XLOOKUP(insurance_policy_data!M285,Sheet2!$K$3:$K$7,Sheet2!$L$3:$L$7,,-1)</f>
        <v>1.3</v>
      </c>
      <c r="F33">
        <f>_xlfn.XLOOKUP(insurance_policy_data!H285,Sheet2!$N$3:$N$9,Sheet2!$O$3:$O$9,,-1)</f>
        <v>1.25</v>
      </c>
      <c r="G33">
        <f>_xlfn.XLOOKUP(insurance_policy_data!L285,Sheet2!$Q$3:$Q$4,Sheet2!$R$3:$R$4)</f>
        <v>0.75</v>
      </c>
      <c r="H33">
        <f>_xlfn.XLOOKUP(insurance_policy_data!N285,Sheet2!$T$3:$T$5,Sheet2!$U$3:$U$5,,-1)</f>
        <v>1.1000000000000001</v>
      </c>
      <c r="I33">
        <f t="shared" si="0"/>
        <v>188.26665000000003</v>
      </c>
    </row>
    <row r="34" spans="2:9" x14ac:dyDescent="0.3">
      <c r="B34">
        <f>_xlfn.XLOOKUP(insurance_policy_data!B30,Sheet2!$B$3:$B$8,Sheet2!$C$3:$C$8,,-1)</f>
        <v>1.35</v>
      </c>
      <c r="C34">
        <f>_xlfn.XLOOKUP(insurance_policy_data!I30,Sheet2!$E$3:$E$7,Sheet2!$F$3:$F$7,,-1)</f>
        <v>1.31</v>
      </c>
      <c r="D34">
        <f>_xlfn.XLOOKUP(insurance_policy_data!P30,Sheet2!$H$3:$H$5,Sheet2!$I$3:$I$5,,-1)</f>
        <v>1</v>
      </c>
      <c r="E34">
        <f>_xlfn.XLOOKUP(insurance_policy_data!M30,Sheet2!$K$3:$K$7,Sheet2!$L$3:$L$7,,-1)</f>
        <v>1.26</v>
      </c>
      <c r="F34">
        <f>_xlfn.XLOOKUP(insurance_policy_data!H30,Sheet2!$N$3:$N$9,Sheet2!$O$3:$O$9,,-1)</f>
        <v>1.29</v>
      </c>
      <c r="G34">
        <f>_xlfn.XLOOKUP(insurance_policy_data!L30,Sheet2!$Q$3:$Q$4,Sheet2!$R$3:$R$4)</f>
        <v>0.75</v>
      </c>
      <c r="H34">
        <f>_xlfn.XLOOKUP(insurance_policy_data!N30,Sheet2!$T$3:$T$5,Sheet2!$U$3:$U$5,,-1)</f>
        <v>1.1000000000000001</v>
      </c>
      <c r="I34">
        <f t="shared" si="0"/>
        <v>189.71831340000006</v>
      </c>
    </row>
    <row r="35" spans="2:9" x14ac:dyDescent="0.3">
      <c r="B35">
        <f>_xlfn.XLOOKUP(insurance_policy_data!B83,Sheet2!$B$3:$B$8,Sheet2!$C$3:$C$8,,-1)</f>
        <v>1.35</v>
      </c>
      <c r="C35">
        <f>_xlfn.XLOOKUP(insurance_policy_data!I83,Sheet2!$E$3:$E$7,Sheet2!$F$3:$F$7,,-1)</f>
        <v>1.31</v>
      </c>
      <c r="D35">
        <f>_xlfn.XLOOKUP(insurance_policy_data!P83,Sheet2!$H$3:$H$5,Sheet2!$I$3:$I$5,,-1)</f>
        <v>1</v>
      </c>
      <c r="E35">
        <f>_xlfn.XLOOKUP(insurance_policy_data!M83,Sheet2!$K$3:$K$7,Sheet2!$L$3:$L$7,,-1)</f>
        <v>1.39</v>
      </c>
      <c r="F35">
        <f>_xlfn.XLOOKUP(insurance_policy_data!H83,Sheet2!$N$3:$N$9,Sheet2!$O$3:$O$9,,-1)</f>
        <v>1.29</v>
      </c>
      <c r="G35">
        <f>_xlfn.XLOOKUP(insurance_policy_data!L83,Sheet2!$Q$3:$Q$4,Sheet2!$R$3:$R$4)</f>
        <v>0.75</v>
      </c>
      <c r="H35">
        <f>_xlfn.XLOOKUP(insurance_policy_data!N83,Sheet2!$T$3:$T$5,Sheet2!$U$3:$U$5,,-1)</f>
        <v>1</v>
      </c>
      <c r="I35">
        <f t="shared" si="0"/>
        <v>190.26584100000002</v>
      </c>
    </row>
    <row r="36" spans="2:9" x14ac:dyDescent="0.3">
      <c r="B36">
        <f>_xlfn.XLOOKUP(insurance_policy_data!B272,Sheet2!$B$3:$B$8,Sheet2!$C$3:$C$8,,-1)</f>
        <v>1.35</v>
      </c>
      <c r="C36">
        <f>_xlfn.XLOOKUP(insurance_policy_data!I272,Sheet2!$E$3:$E$7,Sheet2!$F$3:$F$7,,-1)</f>
        <v>1.31</v>
      </c>
      <c r="D36">
        <f>_xlfn.XLOOKUP(insurance_policy_data!P272,Sheet2!$H$3:$H$5,Sheet2!$I$3:$I$5,,-1)</f>
        <v>1</v>
      </c>
      <c r="E36">
        <f>_xlfn.XLOOKUP(insurance_policy_data!M272,Sheet2!$K$3:$K$7,Sheet2!$L$3:$L$7,,-1)</f>
        <v>1.26</v>
      </c>
      <c r="F36">
        <f>_xlfn.XLOOKUP(insurance_policy_data!H272,Sheet2!$N$3:$N$9,Sheet2!$O$3:$O$9,,-1)</f>
        <v>1.2</v>
      </c>
      <c r="G36">
        <f>_xlfn.XLOOKUP(insurance_policy_data!L272,Sheet2!$Q$3:$Q$4,Sheet2!$R$3:$R$4)</f>
        <v>0.75</v>
      </c>
      <c r="H36">
        <f>_xlfn.XLOOKUP(insurance_policy_data!N272,Sheet2!$T$3:$T$5,Sheet2!$U$3:$U$5,,-1)</f>
        <v>1.2</v>
      </c>
      <c r="I36">
        <f t="shared" si="0"/>
        <v>192.52598399999999</v>
      </c>
    </row>
    <row r="37" spans="2:9" x14ac:dyDescent="0.3">
      <c r="B37">
        <f>_xlfn.XLOOKUP(insurance_policy_data!B47,Sheet2!$B$3:$B$8,Sheet2!$C$3:$C$8,,-1)</f>
        <v>1.34</v>
      </c>
      <c r="C37">
        <f>_xlfn.XLOOKUP(insurance_policy_data!I47,Sheet2!$E$3:$E$7,Sheet2!$F$3:$F$7,,-1)</f>
        <v>1.31</v>
      </c>
      <c r="D37">
        <f>_xlfn.XLOOKUP(insurance_policy_data!P47,Sheet2!$H$3:$H$5,Sheet2!$I$3:$I$5,,-1)</f>
        <v>1</v>
      </c>
      <c r="E37">
        <f>_xlfn.XLOOKUP(insurance_policy_data!M47,Sheet2!$K$3:$K$7,Sheet2!$L$3:$L$7,,-1)</f>
        <v>1.26</v>
      </c>
      <c r="F37">
        <f>_xlfn.XLOOKUP(insurance_policy_data!H47,Sheet2!$N$3:$N$9,Sheet2!$O$3:$O$9,,-1)</f>
        <v>1.33</v>
      </c>
      <c r="G37">
        <f>_xlfn.XLOOKUP(insurance_policy_data!L47,Sheet2!$Q$3:$Q$4,Sheet2!$R$3:$R$4)</f>
        <v>0.75</v>
      </c>
      <c r="H37">
        <f>_xlfn.XLOOKUP(insurance_policy_data!N47,Sheet2!$T$3:$T$5,Sheet2!$U$3:$U$5,,-1)</f>
        <v>1.1000000000000001</v>
      </c>
      <c r="I37">
        <f t="shared" si="0"/>
        <v>194.15215512000003</v>
      </c>
    </row>
    <row r="38" spans="2:9" x14ac:dyDescent="0.3">
      <c r="B38">
        <f>_xlfn.XLOOKUP(insurance_policy_data!B248,Sheet2!$B$3:$B$8,Sheet2!$C$3:$C$8,,-1)</f>
        <v>1.34</v>
      </c>
      <c r="C38">
        <f>_xlfn.XLOOKUP(insurance_policy_data!I248,Sheet2!$E$3:$E$7,Sheet2!$F$3:$F$7,,-1)</f>
        <v>1.3</v>
      </c>
      <c r="D38">
        <f>_xlfn.XLOOKUP(insurance_policy_data!P248,Sheet2!$H$3:$H$5,Sheet2!$I$3:$I$5,,-1)</f>
        <v>1</v>
      </c>
      <c r="E38">
        <f>_xlfn.XLOOKUP(insurance_policy_data!M248,Sheet2!$K$3:$K$7,Sheet2!$L$3:$L$7,,-1)</f>
        <v>1.4</v>
      </c>
      <c r="F38">
        <f>_xlfn.XLOOKUP(insurance_policy_data!H248,Sheet2!$N$3:$N$9,Sheet2!$O$3:$O$9,,-1)</f>
        <v>1.33</v>
      </c>
      <c r="G38">
        <f>_xlfn.XLOOKUP(insurance_policy_data!L248,Sheet2!$Q$3:$Q$4,Sheet2!$R$3:$R$4)</f>
        <v>0.75</v>
      </c>
      <c r="H38">
        <f>_xlfn.XLOOKUP(insurance_policy_data!N248,Sheet2!$T$3:$T$5,Sheet2!$U$3:$U$5,,-1)</f>
        <v>1</v>
      </c>
      <c r="I38">
        <f t="shared" si="0"/>
        <v>194.61624</v>
      </c>
    </row>
    <row r="39" spans="2:9" x14ac:dyDescent="0.3">
      <c r="B39">
        <f>_xlfn.XLOOKUP(insurance_policy_data!B223,Sheet2!$B$3:$B$8,Sheet2!$C$3:$C$8,,-1)</f>
        <v>1.35</v>
      </c>
      <c r="C39">
        <f>_xlfn.XLOOKUP(insurance_policy_data!I223,Sheet2!$E$3:$E$7,Sheet2!$F$3:$F$7,,-1)</f>
        <v>1.31</v>
      </c>
      <c r="D39">
        <f>_xlfn.XLOOKUP(insurance_policy_data!P223,Sheet2!$H$3:$H$5,Sheet2!$I$3:$I$5,,-1)</f>
        <v>1</v>
      </c>
      <c r="E39">
        <f>_xlfn.XLOOKUP(insurance_policy_data!M223,Sheet2!$K$3:$K$7,Sheet2!$L$3:$L$7,,-1)</f>
        <v>1.39</v>
      </c>
      <c r="F39">
        <f>_xlfn.XLOOKUP(insurance_policy_data!H223,Sheet2!$N$3:$N$9,Sheet2!$O$3:$O$9,,-1)</f>
        <v>1.1000000000000001</v>
      </c>
      <c r="G39">
        <f>_xlfn.XLOOKUP(insurance_policy_data!L223,Sheet2!$Q$3:$Q$4,Sheet2!$R$3:$R$4)</f>
        <v>0.75</v>
      </c>
      <c r="H39">
        <f>_xlfn.XLOOKUP(insurance_policy_data!N223,Sheet2!$T$3:$T$5,Sheet2!$U$3:$U$5,,-1)</f>
        <v>1.2</v>
      </c>
      <c r="I39">
        <f t="shared" si="0"/>
        <v>194.690628</v>
      </c>
    </row>
    <row r="40" spans="2:9" x14ac:dyDescent="0.3">
      <c r="B40">
        <f>_xlfn.XLOOKUP(insurance_policy_data!B230,Sheet2!$B$3:$B$8,Sheet2!$C$3:$C$8,,-1)</f>
        <v>1.21</v>
      </c>
      <c r="C40">
        <f>_xlfn.XLOOKUP(insurance_policy_data!I230,Sheet2!$E$3:$E$7,Sheet2!$F$3:$F$7,,-1)</f>
        <v>1.25</v>
      </c>
      <c r="D40">
        <f>_xlfn.XLOOKUP(insurance_policy_data!P230,Sheet2!$H$3:$H$5,Sheet2!$I$3:$I$5,,-1)</f>
        <v>1</v>
      </c>
      <c r="E40">
        <f>_xlfn.XLOOKUP(insurance_policy_data!M230,Sheet2!$K$3:$K$7,Sheet2!$L$3:$L$7,,-1)</f>
        <v>1.39</v>
      </c>
      <c r="F40">
        <f>_xlfn.XLOOKUP(insurance_policy_data!H230,Sheet2!$N$3:$N$9,Sheet2!$O$3:$O$9,,-1)</f>
        <v>1.29</v>
      </c>
      <c r="G40">
        <f>_xlfn.XLOOKUP(insurance_policy_data!L230,Sheet2!$Q$3:$Q$4,Sheet2!$R$3:$R$4)</f>
        <v>0.75</v>
      </c>
      <c r="H40">
        <f>_xlfn.XLOOKUP(insurance_policy_data!N230,Sheet2!$T$3:$T$5,Sheet2!$U$3:$U$5,,-1)</f>
        <v>1.2</v>
      </c>
      <c r="I40">
        <f t="shared" si="0"/>
        <v>195.26858999999999</v>
      </c>
    </row>
    <row r="41" spans="2:9" x14ac:dyDescent="0.3">
      <c r="B41">
        <f>_xlfn.XLOOKUP(insurance_policy_data!B42,Sheet2!$B$3:$B$8,Sheet2!$C$3:$C$8,,-1)</f>
        <v>1.35</v>
      </c>
      <c r="C41">
        <f>_xlfn.XLOOKUP(insurance_policy_data!I42,Sheet2!$E$3:$E$7,Sheet2!$F$3:$F$7,,-1)</f>
        <v>1.31</v>
      </c>
      <c r="D41">
        <f>_xlfn.XLOOKUP(insurance_policy_data!P42,Sheet2!$H$3:$H$5,Sheet2!$I$3:$I$5,,-1)</f>
        <v>1</v>
      </c>
      <c r="E41">
        <f>_xlfn.XLOOKUP(insurance_policy_data!M42,Sheet2!$K$3:$K$7,Sheet2!$L$3:$L$7,,-1)</f>
        <v>1.26</v>
      </c>
      <c r="F41">
        <f>_xlfn.XLOOKUP(insurance_policy_data!H42,Sheet2!$N$3:$N$9,Sheet2!$O$3:$O$9,,-1)</f>
        <v>1.33</v>
      </c>
      <c r="G41">
        <f>_xlfn.XLOOKUP(insurance_policy_data!L42,Sheet2!$Q$3:$Q$4,Sheet2!$R$3:$R$4)</f>
        <v>0.75</v>
      </c>
      <c r="H41">
        <f>_xlfn.XLOOKUP(insurance_policy_data!N42,Sheet2!$T$3:$T$5,Sheet2!$U$3:$U$5,,-1)</f>
        <v>1.1000000000000001</v>
      </c>
      <c r="I41">
        <f t="shared" si="0"/>
        <v>195.60105180000008</v>
      </c>
    </row>
    <row r="42" spans="2:9" x14ac:dyDescent="0.3">
      <c r="B42">
        <f>_xlfn.XLOOKUP(insurance_policy_data!B100,Sheet2!$B$3:$B$8,Sheet2!$C$3:$C$8,,-1)</f>
        <v>1.34</v>
      </c>
      <c r="C42">
        <f>_xlfn.XLOOKUP(insurance_policy_data!I100,Sheet2!$E$3:$E$7,Sheet2!$F$3:$F$7,,-1)</f>
        <v>1.3</v>
      </c>
      <c r="D42">
        <f>_xlfn.XLOOKUP(insurance_policy_data!P100,Sheet2!$H$3:$H$5,Sheet2!$I$3:$I$5,,-1)</f>
        <v>1</v>
      </c>
      <c r="E42">
        <f>_xlfn.XLOOKUP(insurance_policy_data!M100,Sheet2!$K$3:$K$7,Sheet2!$L$3:$L$7,,-1)</f>
        <v>1.26</v>
      </c>
      <c r="F42">
        <f>_xlfn.XLOOKUP(insurance_policy_data!H100,Sheet2!$N$3:$N$9,Sheet2!$O$3:$O$9,,-1)</f>
        <v>1.25</v>
      </c>
      <c r="G42">
        <f>_xlfn.XLOOKUP(insurance_policy_data!L100,Sheet2!$Q$3:$Q$4,Sheet2!$R$3:$R$4)</f>
        <v>0.75</v>
      </c>
      <c r="H42">
        <f>_xlfn.XLOOKUP(insurance_policy_data!N100,Sheet2!$T$3:$T$5,Sheet2!$U$3:$U$5,,-1)</f>
        <v>1.2</v>
      </c>
      <c r="I42">
        <f t="shared" si="0"/>
        <v>197.54279999999997</v>
      </c>
    </row>
    <row r="43" spans="2:9" x14ac:dyDescent="0.3">
      <c r="B43">
        <f>_xlfn.XLOOKUP(insurance_policy_data!B147,Sheet2!$B$3:$B$8,Sheet2!$C$3:$C$8,,-1)</f>
        <v>1.34</v>
      </c>
      <c r="C43">
        <f>_xlfn.XLOOKUP(insurance_policy_data!I147,Sheet2!$E$3:$E$7,Sheet2!$F$3:$F$7,,-1)</f>
        <v>1.3</v>
      </c>
      <c r="D43">
        <f>_xlfn.XLOOKUP(insurance_policy_data!P147,Sheet2!$H$3:$H$5,Sheet2!$I$3:$I$5,,-1)</f>
        <v>1</v>
      </c>
      <c r="E43">
        <f>_xlfn.XLOOKUP(insurance_policy_data!M147,Sheet2!$K$3:$K$7,Sheet2!$L$3:$L$7,,-1)</f>
        <v>1.39</v>
      </c>
      <c r="F43">
        <f>_xlfn.XLOOKUP(insurance_policy_data!H147,Sheet2!$N$3:$N$9,Sheet2!$O$3:$O$9,,-1)</f>
        <v>1.36</v>
      </c>
      <c r="G43">
        <f>_xlfn.XLOOKUP(insurance_policy_data!L147,Sheet2!$Q$3:$Q$4,Sheet2!$R$3:$R$4)</f>
        <v>0.75</v>
      </c>
      <c r="H43">
        <f>_xlfn.XLOOKUP(insurance_policy_data!N147,Sheet2!$T$3:$T$5,Sheet2!$U$3:$U$5,,-1)</f>
        <v>1</v>
      </c>
      <c r="I43">
        <f t="shared" si="0"/>
        <v>197.584608</v>
      </c>
    </row>
    <row r="44" spans="2:9" x14ac:dyDescent="0.3">
      <c r="B44">
        <f>_xlfn.XLOOKUP(insurance_policy_data!B302,Sheet2!$B$3:$B$8,Sheet2!$C$3:$C$8,,-1)</f>
        <v>1.25</v>
      </c>
      <c r="C44">
        <f>_xlfn.XLOOKUP(insurance_policy_data!I302,Sheet2!$E$3:$E$7,Sheet2!$F$3:$F$7,,-1)</f>
        <v>1.3</v>
      </c>
      <c r="D44">
        <f>_xlfn.XLOOKUP(insurance_policy_data!P302,Sheet2!$H$3:$H$5,Sheet2!$I$3:$I$5,,-1)</f>
        <v>1</v>
      </c>
      <c r="E44">
        <f>_xlfn.XLOOKUP(insurance_policy_data!M302,Sheet2!$K$3:$K$7,Sheet2!$L$3:$L$7,,-1)</f>
        <v>1.39</v>
      </c>
      <c r="F44">
        <f>_xlfn.XLOOKUP(insurance_policy_data!H302,Sheet2!$N$3:$N$9,Sheet2!$O$3:$O$9,,-1)</f>
        <v>1.33</v>
      </c>
      <c r="G44">
        <f>_xlfn.XLOOKUP(insurance_policy_data!L302,Sheet2!$Q$3:$Q$4,Sheet2!$R$3:$R$4)</f>
        <v>0.75</v>
      </c>
      <c r="H44">
        <f>_xlfn.XLOOKUP(insurance_policy_data!N302,Sheet2!$T$3:$T$5,Sheet2!$U$3:$U$5,,-1)</f>
        <v>1.1000000000000001</v>
      </c>
      <c r="I44">
        <f t="shared" si="0"/>
        <v>198.27307500000001</v>
      </c>
    </row>
    <row r="45" spans="2:9" x14ac:dyDescent="0.3">
      <c r="B45">
        <f>_xlfn.XLOOKUP(insurance_policy_data!B284,Sheet2!$B$3:$B$8,Sheet2!$C$3:$C$8,,-1)</f>
        <v>1.34</v>
      </c>
      <c r="C45">
        <f>_xlfn.XLOOKUP(insurance_policy_data!I284,Sheet2!$E$3:$E$7,Sheet2!$F$3:$F$7,,-1)</f>
        <v>1.3</v>
      </c>
      <c r="D45">
        <f>_xlfn.XLOOKUP(insurance_policy_data!P284,Sheet2!$H$3:$H$5,Sheet2!$I$3:$I$5,,-1)</f>
        <v>1</v>
      </c>
      <c r="E45">
        <f>_xlfn.XLOOKUP(insurance_policy_data!M284,Sheet2!$K$3:$K$7,Sheet2!$L$3:$L$7,,-1)</f>
        <v>1.3</v>
      </c>
      <c r="F45">
        <f>_xlfn.XLOOKUP(insurance_policy_data!H284,Sheet2!$N$3:$N$9,Sheet2!$O$3:$O$9,,-1)</f>
        <v>1.33</v>
      </c>
      <c r="G45">
        <f>_xlfn.XLOOKUP(insurance_policy_data!L284,Sheet2!$Q$3:$Q$4,Sheet2!$R$3:$R$4)</f>
        <v>0.75</v>
      </c>
      <c r="H45">
        <f>_xlfn.XLOOKUP(insurance_policy_data!N284,Sheet2!$T$3:$T$5,Sheet2!$U$3:$U$5,,-1)</f>
        <v>1.1000000000000001</v>
      </c>
      <c r="I45">
        <f t="shared" si="0"/>
        <v>198.78658800000005</v>
      </c>
    </row>
    <row r="46" spans="2:9" x14ac:dyDescent="0.3">
      <c r="B46">
        <f>_xlfn.XLOOKUP(insurance_policy_data!B52,Sheet2!$B$3:$B$8,Sheet2!$C$3:$C$8,,-1)</f>
        <v>1.35</v>
      </c>
      <c r="C46">
        <f>_xlfn.XLOOKUP(insurance_policy_data!I52,Sheet2!$E$3:$E$7,Sheet2!$F$3:$F$7,,-1)</f>
        <v>1.31</v>
      </c>
      <c r="D46">
        <f>_xlfn.XLOOKUP(insurance_policy_data!P52,Sheet2!$H$3:$H$5,Sheet2!$I$3:$I$5,,-1)</f>
        <v>1</v>
      </c>
      <c r="E46">
        <f>_xlfn.XLOOKUP(insurance_policy_data!M52,Sheet2!$K$3:$K$7,Sheet2!$L$3:$L$7,,-1)</f>
        <v>1.26</v>
      </c>
      <c r="F46">
        <f>_xlfn.XLOOKUP(insurance_policy_data!H52,Sheet2!$N$3:$N$9,Sheet2!$O$3:$O$9,,-1)</f>
        <v>1.36</v>
      </c>
      <c r="G46">
        <f>_xlfn.XLOOKUP(insurance_policy_data!L52,Sheet2!$Q$3:$Q$4,Sheet2!$R$3:$R$4)</f>
        <v>0.75</v>
      </c>
      <c r="H46">
        <f>_xlfn.XLOOKUP(insurance_policy_data!N52,Sheet2!$T$3:$T$5,Sheet2!$U$3:$U$5,,-1)</f>
        <v>1.1000000000000001</v>
      </c>
      <c r="I46">
        <f t="shared" si="0"/>
        <v>200.01310560000007</v>
      </c>
    </row>
    <row r="47" spans="2:9" x14ac:dyDescent="0.3">
      <c r="B47">
        <f>_xlfn.XLOOKUP(insurance_policy_data!B241,Sheet2!$B$3:$B$8,Sheet2!$C$3:$C$8,,-1)</f>
        <v>1.21</v>
      </c>
      <c r="C47">
        <f>_xlfn.XLOOKUP(insurance_policy_data!I241,Sheet2!$E$3:$E$7,Sheet2!$F$3:$F$7,,-1)</f>
        <v>1.25</v>
      </c>
      <c r="D47">
        <f>_xlfn.XLOOKUP(insurance_policy_data!P241,Sheet2!$H$3:$H$5,Sheet2!$I$3:$I$5,,-1)</f>
        <v>1.45</v>
      </c>
      <c r="E47">
        <f>_xlfn.XLOOKUP(insurance_policy_data!M241,Sheet2!$K$3:$K$7,Sheet2!$L$3:$L$7,,-1)</f>
        <v>1.26</v>
      </c>
      <c r="F47">
        <f>_xlfn.XLOOKUP(insurance_policy_data!H241,Sheet2!$N$3:$N$9,Sheet2!$O$3:$O$9,,-1)</f>
        <v>1.1000000000000001</v>
      </c>
      <c r="G47">
        <f>_xlfn.XLOOKUP(insurance_policy_data!L241,Sheet2!$Q$3:$Q$4,Sheet2!$R$3:$R$4)</f>
        <v>0.75</v>
      </c>
      <c r="H47">
        <f>_xlfn.XLOOKUP(insurance_policy_data!N241,Sheet2!$T$3:$T$5,Sheet2!$U$3:$U$5,,-1)</f>
        <v>1.1000000000000001</v>
      </c>
      <c r="I47">
        <f t="shared" si="0"/>
        <v>200.6183025</v>
      </c>
    </row>
    <row r="48" spans="2:9" x14ac:dyDescent="0.3">
      <c r="B48">
        <f>_xlfn.XLOOKUP(insurance_policy_data!B59,Sheet2!$B$3:$B$8,Sheet2!$C$3:$C$8,,-1)</f>
        <v>1.21</v>
      </c>
      <c r="C48">
        <f>_xlfn.XLOOKUP(insurance_policy_data!I59,Sheet2!$E$3:$E$7,Sheet2!$F$3:$F$7,,-1)</f>
        <v>1.25</v>
      </c>
      <c r="D48">
        <f>_xlfn.XLOOKUP(insurance_policy_data!P59,Sheet2!$H$3:$H$5,Sheet2!$I$3:$I$5,,-1)</f>
        <v>1</v>
      </c>
      <c r="E48">
        <f>_xlfn.XLOOKUP(insurance_policy_data!M59,Sheet2!$K$3:$K$7,Sheet2!$L$3:$L$7,,-1)</f>
        <v>1.4</v>
      </c>
      <c r="F48">
        <f>_xlfn.XLOOKUP(insurance_policy_data!H59,Sheet2!$N$3:$N$9,Sheet2!$O$3:$O$9,,-1)</f>
        <v>1.33</v>
      </c>
      <c r="G48">
        <f>_xlfn.XLOOKUP(insurance_policy_data!L59,Sheet2!$Q$3:$Q$4,Sheet2!$R$3:$R$4)</f>
        <v>0.75</v>
      </c>
      <c r="H48">
        <f>_xlfn.XLOOKUP(insurance_policy_data!N59,Sheet2!$T$3:$T$5,Sheet2!$U$3:$U$5,,-1)</f>
        <v>1.2</v>
      </c>
      <c r="I48">
        <f t="shared" si="0"/>
        <v>202.77179999999998</v>
      </c>
    </row>
    <row r="49" spans="2:9" x14ac:dyDescent="0.3">
      <c r="B49">
        <f>_xlfn.XLOOKUP(insurance_policy_data!B138,Sheet2!$B$3:$B$8,Sheet2!$C$3:$C$8,,-1)</f>
        <v>1.21</v>
      </c>
      <c r="C49">
        <f>_xlfn.XLOOKUP(insurance_policy_data!I138,Sheet2!$E$3:$E$7,Sheet2!$F$3:$F$7,,-1)</f>
        <v>1.25</v>
      </c>
      <c r="D49">
        <f>_xlfn.XLOOKUP(insurance_policy_data!P138,Sheet2!$H$3:$H$5,Sheet2!$I$3:$I$5,,-1)</f>
        <v>1</v>
      </c>
      <c r="E49">
        <f>_xlfn.XLOOKUP(insurance_policy_data!M138,Sheet2!$K$3:$K$7,Sheet2!$L$3:$L$7,,-1)</f>
        <v>1.4</v>
      </c>
      <c r="F49">
        <f>_xlfn.XLOOKUP(insurance_policy_data!H138,Sheet2!$N$3:$N$9,Sheet2!$O$3:$O$9,,-1)</f>
        <v>1.33</v>
      </c>
      <c r="G49">
        <f>_xlfn.XLOOKUP(insurance_policy_data!L138,Sheet2!$Q$3:$Q$4,Sheet2!$R$3:$R$4)</f>
        <v>0.75</v>
      </c>
      <c r="H49">
        <f>_xlfn.XLOOKUP(insurance_policy_data!N138,Sheet2!$T$3:$T$5,Sheet2!$U$3:$U$5,,-1)</f>
        <v>1.2</v>
      </c>
      <c r="I49">
        <f t="shared" si="0"/>
        <v>202.77179999999998</v>
      </c>
    </row>
    <row r="50" spans="2:9" x14ac:dyDescent="0.3">
      <c r="B50">
        <f>_xlfn.XLOOKUP(insurance_policy_data!B139,Sheet2!$B$3:$B$8,Sheet2!$C$3:$C$8,,-1)</f>
        <v>1.21</v>
      </c>
      <c r="C50">
        <f>_xlfn.XLOOKUP(insurance_policy_data!I139,Sheet2!$E$3:$E$7,Sheet2!$F$3:$F$7,,-1)</f>
        <v>1.25</v>
      </c>
      <c r="D50">
        <f>_xlfn.XLOOKUP(insurance_policy_data!P139,Sheet2!$H$3:$H$5,Sheet2!$I$3:$I$5,,-1)</f>
        <v>1</v>
      </c>
      <c r="E50">
        <f>_xlfn.XLOOKUP(insurance_policy_data!M139,Sheet2!$K$3:$K$7,Sheet2!$L$3:$L$7,,-1)</f>
        <v>1.4</v>
      </c>
      <c r="F50">
        <f>_xlfn.XLOOKUP(insurance_policy_data!H139,Sheet2!$N$3:$N$9,Sheet2!$O$3:$O$9,,-1)</f>
        <v>1.33</v>
      </c>
      <c r="G50">
        <f>_xlfn.XLOOKUP(insurance_policy_data!L139,Sheet2!$Q$3:$Q$4,Sheet2!$R$3:$R$4)</f>
        <v>0.75</v>
      </c>
      <c r="H50">
        <f>_xlfn.XLOOKUP(insurance_policy_data!N139,Sheet2!$T$3:$T$5,Sheet2!$U$3:$U$5,,-1)</f>
        <v>1.2</v>
      </c>
      <c r="I50">
        <f t="shared" si="0"/>
        <v>202.77179999999998</v>
      </c>
    </row>
    <row r="51" spans="2:9" x14ac:dyDescent="0.3">
      <c r="B51">
        <f>_xlfn.XLOOKUP(insurance_policy_data!B134,Sheet2!$B$3:$B$8,Sheet2!$C$3:$C$8,,-1)</f>
        <v>1.27</v>
      </c>
      <c r="C51">
        <f>_xlfn.XLOOKUP(insurance_policy_data!I134,Sheet2!$E$3:$E$7,Sheet2!$F$3:$F$7,,-1)</f>
        <v>1.25</v>
      </c>
      <c r="D51">
        <f>_xlfn.XLOOKUP(insurance_policy_data!P134,Sheet2!$H$3:$H$5,Sheet2!$I$3:$I$5,,-1)</f>
        <v>1</v>
      </c>
      <c r="E51">
        <f>_xlfn.XLOOKUP(insurance_policy_data!M134,Sheet2!$K$3:$K$7,Sheet2!$L$3:$L$7,,-1)</f>
        <v>1.39</v>
      </c>
      <c r="F51">
        <f>_xlfn.XLOOKUP(insurance_policy_data!H134,Sheet2!$N$3:$N$9,Sheet2!$O$3:$O$9,,-1)</f>
        <v>1.29</v>
      </c>
      <c r="G51">
        <f>_xlfn.XLOOKUP(insurance_policy_data!L134,Sheet2!$Q$3:$Q$4,Sheet2!$R$3:$R$4)</f>
        <v>0.75</v>
      </c>
      <c r="H51">
        <f>_xlfn.XLOOKUP(insurance_policy_data!N134,Sheet2!$T$3:$T$5,Sheet2!$U$3:$U$5,,-1)</f>
        <v>1.2</v>
      </c>
      <c r="I51">
        <f t="shared" si="0"/>
        <v>204.95132999999998</v>
      </c>
    </row>
    <row r="52" spans="2:9" x14ac:dyDescent="0.3">
      <c r="B52">
        <f>_xlfn.XLOOKUP(insurance_policy_data!B178,Sheet2!$B$3:$B$8,Sheet2!$C$3:$C$8,,-1)</f>
        <v>1.35</v>
      </c>
      <c r="C52">
        <f>_xlfn.XLOOKUP(insurance_policy_data!I178,Sheet2!$E$3:$E$7,Sheet2!$F$3:$F$7,,-1)</f>
        <v>1.31</v>
      </c>
      <c r="D52">
        <f>_xlfn.XLOOKUP(insurance_policy_data!P178,Sheet2!$H$3:$H$5,Sheet2!$I$3:$I$5,,-1)</f>
        <v>1</v>
      </c>
      <c r="E52">
        <f>_xlfn.XLOOKUP(insurance_policy_data!M178,Sheet2!$K$3:$K$7,Sheet2!$L$3:$L$7,,-1)</f>
        <v>1.3</v>
      </c>
      <c r="F52">
        <f>_xlfn.XLOOKUP(insurance_policy_data!H178,Sheet2!$N$3:$N$9,Sheet2!$O$3:$O$9,,-1)</f>
        <v>1.36</v>
      </c>
      <c r="G52">
        <f>_xlfn.XLOOKUP(insurance_policy_data!L178,Sheet2!$Q$3:$Q$4,Sheet2!$R$3:$R$4)</f>
        <v>0.75</v>
      </c>
      <c r="H52">
        <f>_xlfn.XLOOKUP(insurance_policy_data!N178,Sheet2!$T$3:$T$5,Sheet2!$U$3:$U$5,,-1)</f>
        <v>1.1000000000000001</v>
      </c>
      <c r="I52">
        <f t="shared" si="0"/>
        <v>206.36272800000006</v>
      </c>
    </row>
    <row r="53" spans="2:9" x14ac:dyDescent="0.3">
      <c r="B53">
        <f>_xlfn.XLOOKUP(insurance_policy_data!B107,Sheet2!$B$3:$B$8,Sheet2!$C$3:$C$8,,-1)</f>
        <v>1.35</v>
      </c>
      <c r="C53">
        <f>_xlfn.XLOOKUP(insurance_policy_data!I107,Sheet2!$E$3:$E$7,Sheet2!$F$3:$F$7,,-1)</f>
        <v>1.31</v>
      </c>
      <c r="D53">
        <f>_xlfn.XLOOKUP(insurance_policy_data!P107,Sheet2!$H$3:$H$5,Sheet2!$I$3:$I$5,,-1)</f>
        <v>1</v>
      </c>
      <c r="E53">
        <f>_xlfn.XLOOKUP(insurance_policy_data!M107,Sheet2!$K$3:$K$7,Sheet2!$L$3:$L$7,,-1)</f>
        <v>1.3</v>
      </c>
      <c r="F53">
        <f>_xlfn.XLOOKUP(insurance_policy_data!H107,Sheet2!$N$3:$N$9,Sheet2!$O$3:$O$9,,-1)</f>
        <v>1.25</v>
      </c>
      <c r="G53">
        <f>_xlfn.XLOOKUP(insurance_policy_data!L107,Sheet2!$Q$3:$Q$4,Sheet2!$R$3:$R$4)</f>
        <v>0.75</v>
      </c>
      <c r="H53">
        <f>_xlfn.XLOOKUP(insurance_policy_data!N107,Sheet2!$T$3:$T$5,Sheet2!$U$3:$U$5,,-1)</f>
        <v>1.2</v>
      </c>
      <c r="I53">
        <f t="shared" si="0"/>
        <v>206.91450000000006</v>
      </c>
    </row>
    <row r="54" spans="2:9" x14ac:dyDescent="0.3">
      <c r="B54">
        <f>_xlfn.XLOOKUP(insurance_policy_data!B54,Sheet2!$B$3:$B$8,Sheet2!$C$3:$C$8,,-1)</f>
        <v>1.21</v>
      </c>
      <c r="C54">
        <f>_xlfn.XLOOKUP(insurance_policy_data!I54,Sheet2!$E$3:$E$7,Sheet2!$F$3:$F$7,,-1)</f>
        <v>1.25</v>
      </c>
      <c r="D54">
        <f>_xlfn.XLOOKUP(insurance_policy_data!P54,Sheet2!$H$3:$H$5,Sheet2!$I$3:$I$5,,-1)</f>
        <v>1.45</v>
      </c>
      <c r="E54">
        <f>_xlfn.XLOOKUP(insurance_policy_data!M54,Sheet2!$K$3:$K$7,Sheet2!$L$3:$L$7,,-1)</f>
        <v>1.26</v>
      </c>
      <c r="F54">
        <f>_xlfn.XLOOKUP(insurance_policy_data!H54,Sheet2!$N$3:$N$9,Sheet2!$O$3:$O$9,,-1)</f>
        <v>1.25</v>
      </c>
      <c r="G54">
        <f>_xlfn.XLOOKUP(insurance_policy_data!L54,Sheet2!$Q$3:$Q$4,Sheet2!$R$3:$R$4)</f>
        <v>0.75</v>
      </c>
      <c r="H54">
        <f>_xlfn.XLOOKUP(insurance_policy_data!N54,Sheet2!$T$3:$T$5,Sheet2!$U$3:$U$5,,-1)</f>
        <v>1</v>
      </c>
      <c r="I54">
        <f t="shared" si="0"/>
        <v>207.25031249999995</v>
      </c>
    </row>
    <row r="55" spans="2:9" x14ac:dyDescent="0.3">
      <c r="B55">
        <f>_xlfn.XLOOKUP(insurance_policy_data!B122,Sheet2!$B$3:$B$8,Sheet2!$C$3:$C$8,,-1)</f>
        <v>1.25</v>
      </c>
      <c r="C55">
        <f>_xlfn.XLOOKUP(insurance_policy_data!I122,Sheet2!$E$3:$E$7,Sheet2!$F$3:$F$7,,-1)</f>
        <v>1.25</v>
      </c>
      <c r="D55">
        <f>_xlfn.XLOOKUP(insurance_policy_data!P122,Sheet2!$H$3:$H$5,Sheet2!$I$3:$I$5,,-1)</f>
        <v>1.45</v>
      </c>
      <c r="E55">
        <f>_xlfn.XLOOKUP(insurance_policy_data!M122,Sheet2!$K$3:$K$7,Sheet2!$L$3:$L$7,,-1)</f>
        <v>1.39</v>
      </c>
      <c r="F55">
        <f>_xlfn.XLOOKUP(insurance_policy_data!H122,Sheet2!$N$3:$N$9,Sheet2!$O$3:$O$9,,-1)</f>
        <v>1.1000000000000001</v>
      </c>
      <c r="G55">
        <f>_xlfn.XLOOKUP(insurance_policy_data!L122,Sheet2!$Q$3:$Q$4,Sheet2!$R$3:$R$4)</f>
        <v>0.75</v>
      </c>
      <c r="H55">
        <f>_xlfn.XLOOKUP(insurance_policy_data!N122,Sheet2!$T$3:$T$5,Sheet2!$U$3:$U$5,,-1)</f>
        <v>1</v>
      </c>
      <c r="I55">
        <f t="shared" si="0"/>
        <v>207.84843749999999</v>
      </c>
    </row>
    <row r="56" spans="2:9" x14ac:dyDescent="0.3">
      <c r="B56">
        <f>_xlfn.XLOOKUP(insurance_policy_data!B293,Sheet2!$B$3:$B$8,Sheet2!$C$3:$C$8,,-1)</f>
        <v>1.27</v>
      </c>
      <c r="C56">
        <f>_xlfn.XLOOKUP(insurance_policy_data!I293,Sheet2!$E$3:$E$7,Sheet2!$F$3:$F$7,,-1)</f>
        <v>1.25</v>
      </c>
      <c r="D56">
        <f>_xlfn.XLOOKUP(insurance_policy_data!P293,Sheet2!$H$3:$H$5,Sheet2!$I$3:$I$5,,-1)</f>
        <v>1</v>
      </c>
      <c r="E56">
        <f>_xlfn.XLOOKUP(insurance_policy_data!M293,Sheet2!$K$3:$K$7,Sheet2!$L$3:$L$7,,-1)</f>
        <v>1.39</v>
      </c>
      <c r="F56">
        <f>_xlfn.XLOOKUP(insurance_policy_data!H293,Sheet2!$N$3:$N$9,Sheet2!$O$3:$O$9,,-1)</f>
        <v>1.33</v>
      </c>
      <c r="G56">
        <f>_xlfn.XLOOKUP(insurance_policy_data!L293,Sheet2!$Q$3:$Q$4,Sheet2!$R$3:$R$4)</f>
        <v>0.75</v>
      </c>
      <c r="H56">
        <f>_xlfn.XLOOKUP(insurance_policy_data!N293,Sheet2!$T$3:$T$5,Sheet2!$U$3:$U$5,,-1)</f>
        <v>1.2</v>
      </c>
      <c r="I56">
        <f t="shared" si="0"/>
        <v>211.30641</v>
      </c>
    </row>
    <row r="57" spans="2:9" x14ac:dyDescent="0.3">
      <c r="B57">
        <f>_xlfn.XLOOKUP(insurance_policy_data!B296,Sheet2!$B$3:$B$8,Sheet2!$C$3:$C$8,,-1)</f>
        <v>1.27</v>
      </c>
      <c r="C57">
        <f>_xlfn.XLOOKUP(insurance_policy_data!I296,Sheet2!$E$3:$E$7,Sheet2!$F$3:$F$7,,-1)</f>
        <v>1.25</v>
      </c>
      <c r="D57">
        <f>_xlfn.XLOOKUP(insurance_policy_data!P296,Sheet2!$H$3:$H$5,Sheet2!$I$3:$I$5,,-1)</f>
        <v>1</v>
      </c>
      <c r="E57">
        <f>_xlfn.XLOOKUP(insurance_policy_data!M296,Sheet2!$K$3:$K$7,Sheet2!$L$3:$L$7,,-1)</f>
        <v>1.4</v>
      </c>
      <c r="F57">
        <f>_xlfn.XLOOKUP(insurance_policy_data!H296,Sheet2!$N$3:$N$9,Sheet2!$O$3:$O$9,,-1)</f>
        <v>1.33</v>
      </c>
      <c r="G57">
        <f>_xlfn.XLOOKUP(insurance_policy_data!L296,Sheet2!$Q$3:$Q$4,Sheet2!$R$3:$R$4)</f>
        <v>0.75</v>
      </c>
      <c r="H57">
        <f>_xlfn.XLOOKUP(insurance_policy_data!N296,Sheet2!$T$3:$T$5,Sheet2!$U$3:$U$5,,-1)</f>
        <v>1.2</v>
      </c>
      <c r="I57">
        <f t="shared" si="0"/>
        <v>212.82659999999996</v>
      </c>
    </row>
    <row r="58" spans="2:9" x14ac:dyDescent="0.3">
      <c r="B58">
        <f>_xlfn.XLOOKUP(insurance_policy_data!B260,Sheet2!$B$3:$B$8,Sheet2!$C$3:$C$8,,-1)</f>
        <v>1.35</v>
      </c>
      <c r="C58">
        <f>_xlfn.XLOOKUP(insurance_policy_data!I260,Sheet2!$E$3:$E$7,Sheet2!$F$3:$F$7,,-1)</f>
        <v>1.31</v>
      </c>
      <c r="D58">
        <f>_xlfn.XLOOKUP(insurance_policy_data!P260,Sheet2!$H$3:$H$5,Sheet2!$I$3:$I$5,,-1)</f>
        <v>1.45</v>
      </c>
      <c r="E58">
        <f>_xlfn.XLOOKUP(insurance_policy_data!M260,Sheet2!$K$3:$K$7,Sheet2!$L$3:$L$7,,-1)</f>
        <v>1.26</v>
      </c>
      <c r="F58">
        <f>_xlfn.XLOOKUP(insurance_policy_data!H260,Sheet2!$N$3:$N$9,Sheet2!$O$3:$O$9,,-1)</f>
        <v>1.1000000000000001</v>
      </c>
      <c r="G58">
        <f>_xlfn.XLOOKUP(insurance_policy_data!L260,Sheet2!$Q$3:$Q$4,Sheet2!$R$3:$R$4)</f>
        <v>0.75</v>
      </c>
      <c r="H58">
        <f>_xlfn.XLOOKUP(insurance_policy_data!N260,Sheet2!$T$3:$T$5,Sheet2!$U$3:$U$5,,-1)</f>
        <v>1</v>
      </c>
      <c r="I58">
        <f t="shared" si="0"/>
        <v>213.24926700000003</v>
      </c>
    </row>
    <row r="59" spans="2:9" x14ac:dyDescent="0.3">
      <c r="B59">
        <f>_xlfn.XLOOKUP(insurance_policy_data!B233,Sheet2!$B$3:$B$8,Sheet2!$C$3:$C$8,,-1)</f>
        <v>1.27</v>
      </c>
      <c r="C59">
        <f>_xlfn.XLOOKUP(insurance_policy_data!I233,Sheet2!$E$3:$E$7,Sheet2!$F$3:$F$7,,-1)</f>
        <v>1.25</v>
      </c>
      <c r="D59">
        <f>_xlfn.XLOOKUP(insurance_policy_data!P233,Sheet2!$H$3:$H$5,Sheet2!$I$3:$I$5,,-1)</f>
        <v>1.45</v>
      </c>
      <c r="E59">
        <f>_xlfn.XLOOKUP(insurance_policy_data!M233,Sheet2!$K$3:$K$7,Sheet2!$L$3:$L$7,,-1)</f>
        <v>1.3</v>
      </c>
      <c r="F59">
        <f>_xlfn.XLOOKUP(insurance_policy_data!H233,Sheet2!$N$3:$N$9,Sheet2!$O$3:$O$9,,-1)</f>
        <v>1.2</v>
      </c>
      <c r="G59">
        <f>_xlfn.XLOOKUP(insurance_policy_data!L233,Sheet2!$Q$3:$Q$4,Sheet2!$R$3:$R$4)</f>
        <v>0.75</v>
      </c>
      <c r="H59">
        <f>_xlfn.XLOOKUP(insurance_policy_data!N233,Sheet2!$T$3:$T$5,Sheet2!$U$3:$U$5,,-1)</f>
        <v>1</v>
      </c>
      <c r="I59">
        <f t="shared" si="0"/>
        <v>215.45549999999997</v>
      </c>
    </row>
    <row r="60" spans="2:9" x14ac:dyDescent="0.3">
      <c r="B60">
        <f>_xlfn.XLOOKUP(insurance_policy_data!B242,Sheet2!$B$3:$B$8,Sheet2!$C$3:$C$8,,-1)</f>
        <v>1.21</v>
      </c>
      <c r="C60">
        <f>_xlfn.XLOOKUP(insurance_policy_data!I242,Sheet2!$E$3:$E$7,Sheet2!$F$3:$F$7,,-1)</f>
        <v>1.25</v>
      </c>
      <c r="D60">
        <f>_xlfn.XLOOKUP(insurance_policy_data!P242,Sheet2!$H$3:$H$5,Sheet2!$I$3:$I$5,,-1)</f>
        <v>1.45</v>
      </c>
      <c r="E60">
        <f>_xlfn.XLOOKUP(insurance_policy_data!M242,Sheet2!$K$3:$K$7,Sheet2!$L$3:$L$7,,-1)</f>
        <v>1.26</v>
      </c>
      <c r="F60">
        <f>_xlfn.XLOOKUP(insurance_policy_data!H242,Sheet2!$N$3:$N$9,Sheet2!$O$3:$O$9,,-1)</f>
        <v>1.2</v>
      </c>
      <c r="G60">
        <f>_xlfn.XLOOKUP(insurance_policy_data!L242,Sheet2!$Q$3:$Q$4,Sheet2!$R$3:$R$4)</f>
        <v>0.75</v>
      </c>
      <c r="H60">
        <f>_xlfn.XLOOKUP(insurance_policy_data!N242,Sheet2!$T$3:$T$5,Sheet2!$U$3:$U$5,,-1)</f>
        <v>1.1000000000000001</v>
      </c>
      <c r="I60">
        <f t="shared" si="0"/>
        <v>218.85632999999999</v>
      </c>
    </row>
    <row r="61" spans="2:9" x14ac:dyDescent="0.3">
      <c r="B61">
        <f>_xlfn.XLOOKUP(insurance_policy_data!B195,Sheet2!$B$3:$B$8,Sheet2!$C$3:$C$8,,-1)</f>
        <v>1.34</v>
      </c>
      <c r="C61">
        <f>_xlfn.XLOOKUP(insurance_policy_data!I195,Sheet2!$E$3:$E$7,Sheet2!$F$3:$F$7,,-1)</f>
        <v>1.31</v>
      </c>
      <c r="D61">
        <f>_xlfn.XLOOKUP(insurance_policy_data!P195,Sheet2!$H$3:$H$5,Sheet2!$I$3:$I$5,,-1)</f>
        <v>1</v>
      </c>
      <c r="E61">
        <f>_xlfn.XLOOKUP(insurance_policy_data!M195,Sheet2!$K$3:$K$7,Sheet2!$L$3:$L$7,,-1)</f>
        <v>1.4</v>
      </c>
      <c r="F61">
        <f>_xlfn.XLOOKUP(insurance_policy_data!H195,Sheet2!$N$3:$N$9,Sheet2!$O$3:$O$9,,-1)</f>
        <v>1.25</v>
      </c>
      <c r="G61">
        <f>_xlfn.XLOOKUP(insurance_policy_data!L195,Sheet2!$Q$3:$Q$4,Sheet2!$R$3:$R$4)</f>
        <v>0.75</v>
      </c>
      <c r="H61">
        <f>_xlfn.XLOOKUP(insurance_policy_data!N195,Sheet2!$T$3:$T$5,Sheet2!$U$3:$U$5,,-1)</f>
        <v>1.2</v>
      </c>
      <c r="I61">
        <f t="shared" si="0"/>
        <v>221.18039999999996</v>
      </c>
    </row>
    <row r="62" spans="2:9" x14ac:dyDescent="0.3">
      <c r="B62">
        <f>_xlfn.XLOOKUP(insurance_policy_data!B114,Sheet2!$B$3:$B$8,Sheet2!$C$3:$C$8,,-1)</f>
        <v>1.21</v>
      </c>
      <c r="C62">
        <f>_xlfn.XLOOKUP(insurance_policy_data!I114,Sheet2!$E$3:$E$7,Sheet2!$F$3:$F$7,,-1)</f>
        <v>1.25</v>
      </c>
      <c r="D62">
        <f>_xlfn.XLOOKUP(insurance_policy_data!P114,Sheet2!$H$3:$H$5,Sheet2!$I$3:$I$5,,-1)</f>
        <v>1.45</v>
      </c>
      <c r="E62">
        <f>_xlfn.XLOOKUP(insurance_policy_data!M114,Sheet2!$K$3:$K$7,Sheet2!$L$3:$L$7,,-1)</f>
        <v>1.4</v>
      </c>
      <c r="F62">
        <f>_xlfn.XLOOKUP(insurance_policy_data!H114,Sheet2!$N$3:$N$9,Sheet2!$O$3:$O$9,,-1)</f>
        <v>1.1000000000000001</v>
      </c>
      <c r="G62">
        <f>_xlfn.XLOOKUP(insurance_policy_data!L114,Sheet2!$Q$3:$Q$4,Sheet2!$R$3:$R$4)</f>
        <v>0.75</v>
      </c>
      <c r="H62">
        <f>_xlfn.XLOOKUP(insurance_policy_data!N114,Sheet2!$T$3:$T$5,Sheet2!$U$3:$U$5,,-1)</f>
        <v>1.1000000000000001</v>
      </c>
      <c r="I62">
        <f t="shared" si="0"/>
        <v>222.90922499999999</v>
      </c>
    </row>
    <row r="63" spans="2:9" x14ac:dyDescent="0.3">
      <c r="B63">
        <f>_xlfn.XLOOKUP(insurance_policy_data!B148,Sheet2!$B$3:$B$8,Sheet2!$C$3:$C$8,,-1)</f>
        <v>1.27</v>
      </c>
      <c r="C63">
        <f>_xlfn.XLOOKUP(insurance_policy_data!I148,Sheet2!$E$3:$E$7,Sheet2!$F$3:$F$7,,-1)</f>
        <v>1.25</v>
      </c>
      <c r="D63">
        <f>_xlfn.XLOOKUP(insurance_policy_data!P148,Sheet2!$H$3:$H$5,Sheet2!$I$3:$I$5,,-1)</f>
        <v>1.45</v>
      </c>
      <c r="E63">
        <f>_xlfn.XLOOKUP(insurance_policy_data!M148,Sheet2!$K$3:$K$7,Sheet2!$L$3:$L$7,,-1)</f>
        <v>1.3</v>
      </c>
      <c r="F63">
        <f>_xlfn.XLOOKUP(insurance_policy_data!H148,Sheet2!$N$3:$N$9,Sheet2!$O$3:$O$9,,-1)</f>
        <v>1.25</v>
      </c>
      <c r="G63">
        <f>_xlfn.XLOOKUP(insurance_policy_data!L148,Sheet2!$Q$3:$Q$4,Sheet2!$R$3:$R$4)</f>
        <v>0.75</v>
      </c>
      <c r="H63">
        <f>_xlfn.XLOOKUP(insurance_policy_data!N148,Sheet2!$T$3:$T$5,Sheet2!$U$3:$U$5,,-1)</f>
        <v>1</v>
      </c>
      <c r="I63">
        <f t="shared" si="0"/>
        <v>224.43281249999998</v>
      </c>
    </row>
    <row r="64" spans="2:9" x14ac:dyDescent="0.3">
      <c r="B64">
        <f>_xlfn.XLOOKUP(insurance_policy_data!B159,Sheet2!$B$3:$B$8,Sheet2!$C$3:$C$8,,-1)</f>
        <v>1.25</v>
      </c>
      <c r="C64">
        <f>_xlfn.XLOOKUP(insurance_policy_data!I159,Sheet2!$E$3:$E$7,Sheet2!$F$3:$F$7,,-1)</f>
        <v>1.25</v>
      </c>
      <c r="D64">
        <f>_xlfn.XLOOKUP(insurance_policy_data!P159,Sheet2!$H$3:$H$5,Sheet2!$I$3:$I$5,,-1)</f>
        <v>1.45</v>
      </c>
      <c r="E64">
        <f>_xlfn.XLOOKUP(insurance_policy_data!M159,Sheet2!$K$3:$K$7,Sheet2!$L$3:$L$7,,-1)</f>
        <v>1.39</v>
      </c>
      <c r="F64">
        <f>_xlfn.XLOOKUP(insurance_policy_data!H159,Sheet2!$N$3:$N$9,Sheet2!$O$3:$O$9,,-1)</f>
        <v>1.2</v>
      </c>
      <c r="G64">
        <f>_xlfn.XLOOKUP(insurance_policy_data!L159,Sheet2!$Q$3:$Q$4,Sheet2!$R$3:$R$4)</f>
        <v>0.75</v>
      </c>
      <c r="H64">
        <f>_xlfn.XLOOKUP(insurance_policy_data!N159,Sheet2!$T$3:$T$5,Sheet2!$U$3:$U$5,,-1)</f>
        <v>1</v>
      </c>
      <c r="I64">
        <f t="shared" si="0"/>
        <v>226.74374999999998</v>
      </c>
    </row>
    <row r="65" spans="2:9" x14ac:dyDescent="0.3">
      <c r="B65">
        <f>_xlfn.XLOOKUP(insurance_policy_data!B25,Sheet2!$B$3:$B$8,Sheet2!$C$3:$C$8,,-1)</f>
        <v>1.21</v>
      </c>
      <c r="C65">
        <f>_xlfn.XLOOKUP(insurance_policy_data!I25,Sheet2!$E$3:$E$7,Sheet2!$F$3:$F$7,,-1)</f>
        <v>1.25</v>
      </c>
      <c r="D65">
        <f>_xlfn.XLOOKUP(insurance_policy_data!P25,Sheet2!$H$3:$H$5,Sheet2!$I$3:$I$5,,-1)</f>
        <v>1.45</v>
      </c>
      <c r="E65">
        <f>_xlfn.XLOOKUP(insurance_policy_data!M25,Sheet2!$K$3:$K$7,Sheet2!$L$3:$L$7,,-1)</f>
        <v>1.26</v>
      </c>
      <c r="F65">
        <f>_xlfn.XLOOKUP(insurance_policy_data!H25,Sheet2!$N$3:$N$9,Sheet2!$O$3:$O$9,,-1)</f>
        <v>1.25</v>
      </c>
      <c r="G65">
        <f>_xlfn.XLOOKUP(insurance_policy_data!L25,Sheet2!$Q$3:$Q$4,Sheet2!$R$3:$R$4)</f>
        <v>0.75</v>
      </c>
      <c r="H65">
        <f>_xlfn.XLOOKUP(insurance_policy_data!N25,Sheet2!$T$3:$T$5,Sheet2!$U$3:$U$5,,-1)</f>
        <v>1.1000000000000001</v>
      </c>
      <c r="I65">
        <f t="shared" si="0"/>
        <v>227.97534374999995</v>
      </c>
    </row>
    <row r="66" spans="2:9" x14ac:dyDescent="0.3">
      <c r="B66">
        <f>_xlfn.XLOOKUP(insurance_policy_data!B214,Sheet2!$B$3:$B$8,Sheet2!$C$3:$C$8,,-1)</f>
        <v>1.21</v>
      </c>
      <c r="C66">
        <f>_xlfn.XLOOKUP(insurance_policy_data!I214,Sheet2!$E$3:$E$7,Sheet2!$F$3:$F$7,,-1)</f>
        <v>1.25</v>
      </c>
      <c r="D66">
        <f>_xlfn.XLOOKUP(insurance_policy_data!P214,Sheet2!$H$3:$H$5,Sheet2!$I$3:$I$5,,-1)</f>
        <v>1.45</v>
      </c>
      <c r="E66">
        <f>_xlfn.XLOOKUP(insurance_policy_data!M214,Sheet2!$K$3:$K$7,Sheet2!$L$3:$L$7,,-1)</f>
        <v>1.39</v>
      </c>
      <c r="F66">
        <f>_xlfn.XLOOKUP(insurance_policy_data!H214,Sheet2!$N$3:$N$9,Sheet2!$O$3:$O$9,,-1)</f>
        <v>1.25</v>
      </c>
      <c r="G66">
        <f>_xlfn.XLOOKUP(insurance_policy_data!L214,Sheet2!$Q$3:$Q$4,Sheet2!$R$3:$R$4)</f>
        <v>0.75</v>
      </c>
      <c r="H66">
        <f>_xlfn.XLOOKUP(insurance_policy_data!N214,Sheet2!$T$3:$T$5,Sheet2!$U$3:$U$5,,-1)</f>
        <v>1</v>
      </c>
      <c r="I66">
        <f t="shared" si="0"/>
        <v>228.63328124999998</v>
      </c>
    </row>
    <row r="67" spans="2:9" x14ac:dyDescent="0.3">
      <c r="B67">
        <f>_xlfn.XLOOKUP(insurance_policy_data!B35,Sheet2!$B$3:$B$8,Sheet2!$C$3:$C$8,,-1)</f>
        <v>1.27</v>
      </c>
      <c r="C67">
        <f>_xlfn.XLOOKUP(insurance_policy_data!I35,Sheet2!$E$3:$E$7,Sheet2!$F$3:$F$7,,-1)</f>
        <v>1.25</v>
      </c>
      <c r="D67">
        <f>_xlfn.XLOOKUP(insurance_policy_data!P35,Sheet2!$H$3:$H$5,Sheet2!$I$3:$I$5,,-1)</f>
        <v>1.45</v>
      </c>
      <c r="E67">
        <f>_xlfn.XLOOKUP(insurance_policy_data!M35,Sheet2!$K$3:$K$7,Sheet2!$L$3:$L$7,,-1)</f>
        <v>1.3</v>
      </c>
      <c r="F67">
        <f>_xlfn.XLOOKUP(insurance_policy_data!H35,Sheet2!$N$3:$N$9,Sheet2!$O$3:$O$9,,-1)</f>
        <v>1.29</v>
      </c>
      <c r="G67">
        <f>_xlfn.XLOOKUP(insurance_policy_data!L35,Sheet2!$Q$3:$Q$4,Sheet2!$R$3:$R$4)</f>
        <v>0.75</v>
      </c>
      <c r="H67">
        <f>_xlfn.XLOOKUP(insurance_policy_data!N35,Sheet2!$T$3:$T$5,Sheet2!$U$3:$U$5,,-1)</f>
        <v>1</v>
      </c>
      <c r="I67">
        <f t="shared" ref="I67:I130" si="1">(B67*C67*D67*E67*F67*G67*H67)*80</f>
        <v>231.61466249999995</v>
      </c>
    </row>
    <row r="68" spans="2:9" x14ac:dyDescent="0.3">
      <c r="B68">
        <f>_xlfn.XLOOKUP(insurance_policy_data!B51,Sheet2!$B$3:$B$8,Sheet2!$C$3:$C$8,,-1)</f>
        <v>1.34</v>
      </c>
      <c r="C68">
        <f>_xlfn.XLOOKUP(insurance_policy_data!I51,Sheet2!$E$3:$E$7,Sheet2!$F$3:$F$7,,-1)</f>
        <v>1.3</v>
      </c>
      <c r="D68">
        <f>_xlfn.XLOOKUP(insurance_policy_data!P51,Sheet2!$H$3:$H$5,Sheet2!$I$3:$I$5,,-1)</f>
        <v>1.45</v>
      </c>
      <c r="E68">
        <f>_xlfn.XLOOKUP(insurance_policy_data!M51,Sheet2!$K$3:$K$7,Sheet2!$L$3:$L$7,,-1)</f>
        <v>1.39</v>
      </c>
      <c r="F68">
        <f>_xlfn.XLOOKUP(insurance_policy_data!H51,Sheet2!$N$3:$N$9,Sheet2!$O$3:$O$9,,-1)</f>
        <v>1.1000000000000001</v>
      </c>
      <c r="G68">
        <f>_xlfn.XLOOKUP(insurance_policy_data!L51,Sheet2!$Q$3:$Q$4,Sheet2!$R$3:$R$4)</f>
        <v>0.75</v>
      </c>
      <c r="H68">
        <f>_xlfn.XLOOKUP(insurance_policy_data!N51,Sheet2!$T$3:$T$5,Sheet2!$U$3:$U$5,,-1)</f>
        <v>1</v>
      </c>
      <c r="I68">
        <f t="shared" si="1"/>
        <v>231.726066</v>
      </c>
    </row>
    <row r="69" spans="2:9" x14ac:dyDescent="0.3">
      <c r="B69">
        <f>_xlfn.XLOOKUP(insurance_policy_data!B111,Sheet2!$B$3:$B$8,Sheet2!$C$3:$C$8,,-1)</f>
        <v>1.35</v>
      </c>
      <c r="C69">
        <f>_xlfn.XLOOKUP(insurance_policy_data!I111,Sheet2!$E$3:$E$7,Sheet2!$F$3:$F$7,,-1)</f>
        <v>1.31</v>
      </c>
      <c r="D69">
        <f>_xlfn.XLOOKUP(insurance_policy_data!P111,Sheet2!$H$3:$H$5,Sheet2!$I$3:$I$5,,-1)</f>
        <v>1.45</v>
      </c>
      <c r="E69">
        <f>_xlfn.XLOOKUP(insurance_policy_data!M111,Sheet2!$K$3:$K$7,Sheet2!$L$3:$L$7,,-1)</f>
        <v>1.26</v>
      </c>
      <c r="F69">
        <f>_xlfn.XLOOKUP(insurance_policy_data!H111,Sheet2!$N$3:$N$9,Sheet2!$O$3:$O$9,,-1)</f>
        <v>1.1000000000000001</v>
      </c>
      <c r="G69">
        <f>_xlfn.XLOOKUP(insurance_policy_data!L111,Sheet2!$Q$3:$Q$4,Sheet2!$R$3:$R$4)</f>
        <v>0.75</v>
      </c>
      <c r="H69">
        <f>_xlfn.XLOOKUP(insurance_policy_data!N111,Sheet2!$T$3:$T$5,Sheet2!$U$3:$U$5,,-1)</f>
        <v>1.1000000000000001</v>
      </c>
      <c r="I69">
        <f t="shared" si="1"/>
        <v>234.57419370000002</v>
      </c>
    </row>
    <row r="70" spans="2:9" x14ac:dyDescent="0.3">
      <c r="B70">
        <f>_xlfn.XLOOKUP(insurance_policy_data!B104,Sheet2!$B$3:$B$8,Sheet2!$C$3:$C$8,,-1)</f>
        <v>1.25</v>
      </c>
      <c r="C70">
        <f>_xlfn.XLOOKUP(insurance_policy_data!I104,Sheet2!$E$3:$E$7,Sheet2!$F$3:$F$7,,-1)</f>
        <v>1.3</v>
      </c>
      <c r="D70">
        <f>_xlfn.XLOOKUP(insurance_policy_data!P104,Sheet2!$H$3:$H$5,Sheet2!$I$3:$I$5,,-1)</f>
        <v>1.45</v>
      </c>
      <c r="E70">
        <f>_xlfn.XLOOKUP(insurance_policy_data!M104,Sheet2!$K$3:$K$7,Sheet2!$L$3:$L$7,,-1)</f>
        <v>1.4</v>
      </c>
      <c r="F70">
        <f>_xlfn.XLOOKUP(insurance_policy_data!H104,Sheet2!$N$3:$N$9,Sheet2!$O$3:$O$9,,-1)</f>
        <v>1.2</v>
      </c>
      <c r="G70">
        <f>_xlfn.XLOOKUP(insurance_policy_data!L104,Sheet2!$Q$3:$Q$4,Sheet2!$R$3:$R$4)</f>
        <v>0.75</v>
      </c>
      <c r="H70">
        <f>_xlfn.XLOOKUP(insurance_policy_data!N104,Sheet2!$T$3:$T$5,Sheet2!$U$3:$U$5,,-1)</f>
        <v>1</v>
      </c>
      <c r="I70">
        <f t="shared" si="1"/>
        <v>237.51</v>
      </c>
    </row>
    <row r="71" spans="2:9" x14ac:dyDescent="0.3">
      <c r="B71">
        <f>_xlfn.XLOOKUP(insurance_policy_data!B236,Sheet2!$B$3:$B$8,Sheet2!$C$3:$C$8,,-1)</f>
        <v>1.34</v>
      </c>
      <c r="C71">
        <f>_xlfn.XLOOKUP(insurance_policy_data!I236,Sheet2!$E$3:$E$7,Sheet2!$F$3:$F$7,,-1)</f>
        <v>1.31</v>
      </c>
      <c r="D71">
        <f>_xlfn.XLOOKUP(insurance_policy_data!P236,Sheet2!$H$3:$H$5,Sheet2!$I$3:$I$5,,-1)</f>
        <v>1.45</v>
      </c>
      <c r="E71">
        <f>_xlfn.XLOOKUP(insurance_policy_data!M236,Sheet2!$K$3:$K$7,Sheet2!$L$3:$L$7,,-1)</f>
        <v>1.3</v>
      </c>
      <c r="F71">
        <f>_xlfn.XLOOKUP(insurance_policy_data!H236,Sheet2!$N$3:$N$9,Sheet2!$O$3:$O$9,,-1)</f>
        <v>1.1000000000000001</v>
      </c>
      <c r="G71">
        <f>_xlfn.XLOOKUP(insurance_policy_data!L236,Sheet2!$Q$3:$Q$4,Sheet2!$R$3:$R$4)</f>
        <v>0.75</v>
      </c>
      <c r="H71">
        <f>_xlfn.XLOOKUP(insurance_policy_data!N236,Sheet2!$T$3:$T$5,Sheet2!$U$3:$U$5,,-1)</f>
        <v>1.1000000000000001</v>
      </c>
      <c r="I71">
        <f t="shared" si="1"/>
        <v>240.22824540000002</v>
      </c>
    </row>
    <row r="72" spans="2:9" x14ac:dyDescent="0.3">
      <c r="B72">
        <f>_xlfn.XLOOKUP(insurance_policy_data!B128,Sheet2!$B$3:$B$8,Sheet2!$C$3:$C$8,,-1)</f>
        <v>1.21</v>
      </c>
      <c r="C72">
        <f>_xlfn.XLOOKUP(insurance_policy_data!I128,Sheet2!$E$3:$E$7,Sheet2!$F$3:$F$7,,-1)</f>
        <v>1.25</v>
      </c>
      <c r="D72">
        <f>_xlfn.XLOOKUP(insurance_policy_data!P128,Sheet2!$H$3:$H$5,Sheet2!$I$3:$I$5,,-1)</f>
        <v>1.45</v>
      </c>
      <c r="E72">
        <f>_xlfn.XLOOKUP(insurance_policy_data!M128,Sheet2!$K$3:$K$7,Sheet2!$L$3:$L$7,,-1)</f>
        <v>1.39</v>
      </c>
      <c r="F72">
        <f>_xlfn.XLOOKUP(insurance_policy_data!H128,Sheet2!$N$3:$N$9,Sheet2!$O$3:$O$9,,-1)</f>
        <v>1.2</v>
      </c>
      <c r="G72">
        <f>_xlfn.XLOOKUP(insurance_policy_data!L128,Sheet2!$Q$3:$Q$4,Sheet2!$R$3:$R$4)</f>
        <v>0.75</v>
      </c>
      <c r="H72">
        <f>_xlfn.XLOOKUP(insurance_policy_data!N128,Sheet2!$T$3:$T$5,Sheet2!$U$3:$U$5,,-1)</f>
        <v>1.1000000000000001</v>
      </c>
      <c r="I72">
        <f t="shared" si="1"/>
        <v>241.436745</v>
      </c>
    </row>
    <row r="73" spans="2:9" x14ac:dyDescent="0.3">
      <c r="B73">
        <f>_xlfn.XLOOKUP(insurance_policy_data!B108,Sheet2!$B$3:$B$8,Sheet2!$C$3:$C$8,,-1)</f>
        <v>1.35</v>
      </c>
      <c r="C73">
        <f>_xlfn.XLOOKUP(insurance_policy_data!I108,Sheet2!$E$3:$E$7,Sheet2!$F$3:$F$7,,-1)</f>
        <v>1.31</v>
      </c>
      <c r="D73">
        <f>_xlfn.XLOOKUP(insurance_policy_data!P108,Sheet2!$H$3:$H$5,Sheet2!$I$3:$I$5,,-1)</f>
        <v>1.45</v>
      </c>
      <c r="E73">
        <f>_xlfn.XLOOKUP(insurance_policy_data!M108,Sheet2!$K$3:$K$7,Sheet2!$L$3:$L$7,,-1)</f>
        <v>1.3</v>
      </c>
      <c r="F73">
        <f>_xlfn.XLOOKUP(insurance_policy_data!H108,Sheet2!$N$3:$N$9,Sheet2!$O$3:$O$9,,-1)</f>
        <v>1.1000000000000001</v>
      </c>
      <c r="G73">
        <f>_xlfn.XLOOKUP(insurance_policy_data!L108,Sheet2!$Q$3:$Q$4,Sheet2!$R$3:$R$4)</f>
        <v>0.75</v>
      </c>
      <c r="H73">
        <f>_xlfn.XLOOKUP(insurance_policy_data!N108,Sheet2!$T$3:$T$5,Sheet2!$U$3:$U$5,,-1)</f>
        <v>1.1000000000000001</v>
      </c>
      <c r="I73">
        <f t="shared" si="1"/>
        <v>242.02099350000003</v>
      </c>
    </row>
    <row r="74" spans="2:9" x14ac:dyDescent="0.3">
      <c r="B74">
        <f>_xlfn.XLOOKUP(insurance_policy_data!B3,Sheet2!$B$3:$B$8,Sheet2!$C$3:$C$8,,-1)</f>
        <v>1.21</v>
      </c>
      <c r="C74">
        <f>_xlfn.XLOOKUP(insurance_policy_data!I3,Sheet2!$E$3:$E$7,Sheet2!$F$3:$F$7,,-1)</f>
        <v>1.25</v>
      </c>
      <c r="D74">
        <f>_xlfn.XLOOKUP(insurance_policy_data!P3,Sheet2!$H$3:$H$5,Sheet2!$I$3:$I$5,,-1)</f>
        <v>1.45</v>
      </c>
      <c r="E74">
        <f>_xlfn.XLOOKUP(insurance_policy_data!M3,Sheet2!$K$3:$K$7,Sheet2!$L$3:$L$7,,-1)</f>
        <v>1.4</v>
      </c>
      <c r="F74">
        <f>_xlfn.XLOOKUP(insurance_policy_data!H3,Sheet2!$N$3:$N$9,Sheet2!$O$3:$O$9,,-1)</f>
        <v>1.2</v>
      </c>
      <c r="G74">
        <f>_xlfn.XLOOKUP(insurance_policy_data!L3,Sheet2!$Q$3:$Q$4,Sheet2!$R$3:$R$4)</f>
        <v>0.75</v>
      </c>
      <c r="H74">
        <f>_xlfn.XLOOKUP(insurance_policy_data!N3,Sheet2!$T$3:$T$5,Sheet2!$U$3:$U$5,,-1)</f>
        <v>1.1000000000000001</v>
      </c>
      <c r="I74">
        <f t="shared" si="1"/>
        <v>243.17369999999997</v>
      </c>
    </row>
    <row r="75" spans="2:9" x14ac:dyDescent="0.3">
      <c r="B75">
        <f>_xlfn.XLOOKUP(insurance_policy_data!B15,Sheet2!$B$3:$B$8,Sheet2!$C$3:$C$8,,-1)</f>
        <v>1.21</v>
      </c>
      <c r="C75">
        <f>_xlfn.XLOOKUP(insurance_policy_data!I15,Sheet2!$E$3:$E$7,Sheet2!$F$3:$F$7,,-1)</f>
        <v>1.25</v>
      </c>
      <c r="D75">
        <f>_xlfn.XLOOKUP(insurance_policy_data!P15,Sheet2!$H$3:$H$5,Sheet2!$I$3:$I$5,,-1)</f>
        <v>1.45</v>
      </c>
      <c r="E75">
        <f>_xlfn.XLOOKUP(insurance_policy_data!M15,Sheet2!$K$3:$K$7,Sheet2!$L$3:$L$7,,-1)</f>
        <v>1.4</v>
      </c>
      <c r="F75">
        <f>_xlfn.XLOOKUP(insurance_policy_data!H15,Sheet2!$N$3:$N$9,Sheet2!$O$3:$O$9,,-1)</f>
        <v>1.2</v>
      </c>
      <c r="G75">
        <f>_xlfn.XLOOKUP(insurance_policy_data!L15,Sheet2!$Q$3:$Q$4,Sheet2!$R$3:$R$4)</f>
        <v>0.75</v>
      </c>
      <c r="H75">
        <f>_xlfn.XLOOKUP(insurance_policy_data!N15,Sheet2!$T$3:$T$5,Sheet2!$U$3:$U$5,,-1)</f>
        <v>1.1000000000000001</v>
      </c>
      <c r="I75">
        <f t="shared" si="1"/>
        <v>243.17369999999997</v>
      </c>
    </row>
    <row r="76" spans="2:9" x14ac:dyDescent="0.3">
      <c r="B76">
        <f>_xlfn.XLOOKUP(insurance_policy_data!B129,Sheet2!$B$3:$B$8,Sheet2!$C$3:$C$8,,-1)</f>
        <v>1.25</v>
      </c>
      <c r="C76">
        <f>_xlfn.XLOOKUP(insurance_policy_data!I129,Sheet2!$E$3:$E$7,Sheet2!$F$3:$F$7,,-1)</f>
        <v>1.3</v>
      </c>
      <c r="D76">
        <f>_xlfn.XLOOKUP(insurance_policy_data!P129,Sheet2!$H$3:$H$5,Sheet2!$I$3:$I$5,,-1)</f>
        <v>1.45</v>
      </c>
      <c r="E76">
        <f>_xlfn.XLOOKUP(insurance_policy_data!M129,Sheet2!$K$3:$K$7,Sheet2!$L$3:$L$7,,-1)</f>
        <v>1.3</v>
      </c>
      <c r="F76">
        <f>_xlfn.XLOOKUP(insurance_policy_data!H129,Sheet2!$N$3:$N$9,Sheet2!$O$3:$O$9,,-1)</f>
        <v>1.33</v>
      </c>
      <c r="G76">
        <f>_xlfn.XLOOKUP(insurance_policy_data!L129,Sheet2!$Q$3:$Q$4,Sheet2!$R$3:$R$4)</f>
        <v>0.75</v>
      </c>
      <c r="H76">
        <f>_xlfn.XLOOKUP(insurance_policy_data!N129,Sheet2!$T$3:$T$5,Sheet2!$U$3:$U$5,,-1)</f>
        <v>1</v>
      </c>
      <c r="I76">
        <f t="shared" si="1"/>
        <v>244.437375</v>
      </c>
    </row>
    <row r="77" spans="2:9" x14ac:dyDescent="0.3">
      <c r="B77">
        <f>_xlfn.XLOOKUP(insurance_policy_data!B152,Sheet2!$B$3:$B$8,Sheet2!$C$3:$C$8,,-1)</f>
        <v>1.25</v>
      </c>
      <c r="C77">
        <f>_xlfn.XLOOKUP(insurance_policy_data!I152,Sheet2!$E$3:$E$7,Sheet2!$F$3:$F$7,,-1)</f>
        <v>1.3</v>
      </c>
      <c r="D77">
        <f>_xlfn.XLOOKUP(insurance_policy_data!P152,Sheet2!$H$3:$H$5,Sheet2!$I$3:$I$5,,-1)</f>
        <v>1.45</v>
      </c>
      <c r="E77">
        <f>_xlfn.XLOOKUP(insurance_policy_data!M152,Sheet2!$K$3:$K$7,Sheet2!$L$3:$L$7,,-1)</f>
        <v>1.3</v>
      </c>
      <c r="F77">
        <f>_xlfn.XLOOKUP(insurance_policy_data!H152,Sheet2!$N$3:$N$9,Sheet2!$O$3:$O$9,,-1)</f>
        <v>1.33</v>
      </c>
      <c r="G77">
        <f>_xlfn.XLOOKUP(insurance_policy_data!L152,Sheet2!$Q$3:$Q$4,Sheet2!$R$3:$R$4)</f>
        <v>0.75</v>
      </c>
      <c r="H77">
        <f>_xlfn.XLOOKUP(insurance_policy_data!N152,Sheet2!$T$3:$T$5,Sheet2!$U$3:$U$5,,-1)</f>
        <v>1</v>
      </c>
      <c r="I77">
        <f t="shared" si="1"/>
        <v>244.437375</v>
      </c>
    </row>
    <row r="78" spans="2:9" x14ac:dyDescent="0.3">
      <c r="B78">
        <f>_xlfn.XLOOKUP(insurance_policy_data!B239,Sheet2!$B$3:$B$8,Sheet2!$C$3:$C$8,,-1)</f>
        <v>1.25</v>
      </c>
      <c r="C78">
        <f>_xlfn.XLOOKUP(insurance_policy_data!I239,Sheet2!$E$3:$E$7,Sheet2!$F$3:$F$7,,-1)</f>
        <v>1.3</v>
      </c>
      <c r="D78">
        <f>_xlfn.XLOOKUP(insurance_policy_data!P239,Sheet2!$H$3:$H$5,Sheet2!$I$3:$I$5,,-1)</f>
        <v>1.45</v>
      </c>
      <c r="E78">
        <f>_xlfn.XLOOKUP(insurance_policy_data!M239,Sheet2!$K$3:$K$7,Sheet2!$L$3:$L$7,,-1)</f>
        <v>1.26</v>
      </c>
      <c r="F78">
        <f>_xlfn.XLOOKUP(insurance_policy_data!H239,Sheet2!$N$3:$N$9,Sheet2!$O$3:$O$9,,-1)</f>
        <v>1.25</v>
      </c>
      <c r="G78">
        <f>_xlfn.XLOOKUP(insurance_policy_data!L239,Sheet2!$Q$3:$Q$4,Sheet2!$R$3:$R$4)</f>
        <v>0.75</v>
      </c>
      <c r="H78">
        <f>_xlfn.XLOOKUP(insurance_policy_data!N239,Sheet2!$T$3:$T$5,Sheet2!$U$3:$U$5,,-1)</f>
        <v>1.1000000000000001</v>
      </c>
      <c r="I78">
        <f t="shared" si="1"/>
        <v>244.9321875</v>
      </c>
    </row>
    <row r="79" spans="2:9" x14ac:dyDescent="0.3">
      <c r="B79">
        <f>_xlfn.XLOOKUP(insurance_policy_data!B218,Sheet2!$B$3:$B$8,Sheet2!$C$3:$C$8,,-1)</f>
        <v>1.21</v>
      </c>
      <c r="C79">
        <f>_xlfn.XLOOKUP(insurance_policy_data!I218,Sheet2!$E$3:$E$7,Sheet2!$F$3:$F$7,,-1)</f>
        <v>1.25</v>
      </c>
      <c r="D79">
        <f>_xlfn.XLOOKUP(insurance_policy_data!P218,Sheet2!$H$3:$H$5,Sheet2!$I$3:$I$5,,-1)</f>
        <v>1.45</v>
      </c>
      <c r="E79">
        <f>_xlfn.XLOOKUP(insurance_policy_data!M218,Sheet2!$K$3:$K$7,Sheet2!$L$3:$L$7,,-1)</f>
        <v>1.4</v>
      </c>
      <c r="F79">
        <f>_xlfn.XLOOKUP(insurance_policy_data!H218,Sheet2!$N$3:$N$9,Sheet2!$O$3:$O$9,,-1)</f>
        <v>1.33</v>
      </c>
      <c r="G79">
        <f>_xlfn.XLOOKUP(insurance_policy_data!L218,Sheet2!$Q$3:$Q$4,Sheet2!$R$3:$R$4)</f>
        <v>0.75</v>
      </c>
      <c r="H79">
        <f>_xlfn.XLOOKUP(insurance_policy_data!N218,Sheet2!$T$3:$T$5,Sheet2!$U$3:$U$5,,-1)</f>
        <v>1</v>
      </c>
      <c r="I79">
        <f t="shared" si="1"/>
        <v>245.01592499999992</v>
      </c>
    </row>
    <row r="80" spans="2:9" x14ac:dyDescent="0.3">
      <c r="B80">
        <f>_xlfn.XLOOKUP(insurance_policy_data!B240,Sheet2!$B$3:$B$8,Sheet2!$C$3:$C$8,,-1)</f>
        <v>1.21</v>
      </c>
      <c r="C80">
        <f>_xlfn.XLOOKUP(insurance_policy_data!I240,Sheet2!$E$3:$E$7,Sheet2!$F$3:$F$7,,-1)</f>
        <v>1.25</v>
      </c>
      <c r="D80">
        <f>_xlfn.XLOOKUP(insurance_policy_data!P240,Sheet2!$H$3:$H$5,Sheet2!$I$3:$I$5,,-1)</f>
        <v>1.45</v>
      </c>
      <c r="E80">
        <f>_xlfn.XLOOKUP(insurance_policy_data!M240,Sheet2!$K$3:$K$7,Sheet2!$L$3:$L$7,,-1)</f>
        <v>1.39</v>
      </c>
      <c r="F80">
        <f>_xlfn.XLOOKUP(insurance_policy_data!H240,Sheet2!$N$3:$N$9,Sheet2!$O$3:$O$9,,-1)</f>
        <v>1.36</v>
      </c>
      <c r="G80">
        <f>_xlfn.XLOOKUP(insurance_policy_data!L240,Sheet2!$Q$3:$Q$4,Sheet2!$R$3:$R$4)</f>
        <v>0.75</v>
      </c>
      <c r="H80">
        <f>_xlfn.XLOOKUP(insurance_policy_data!N240,Sheet2!$T$3:$T$5,Sheet2!$U$3:$U$5,,-1)</f>
        <v>1</v>
      </c>
      <c r="I80">
        <f t="shared" si="1"/>
        <v>248.75301000000002</v>
      </c>
    </row>
    <row r="81" spans="2:9" x14ac:dyDescent="0.3">
      <c r="B81">
        <f>_xlfn.XLOOKUP(insurance_policy_data!B153,Sheet2!$B$3:$B$8,Sheet2!$C$3:$C$8,,-1)</f>
        <v>1.35</v>
      </c>
      <c r="C81">
        <f>_xlfn.XLOOKUP(insurance_policy_data!I153,Sheet2!$E$3:$E$7,Sheet2!$F$3:$F$7,,-1)</f>
        <v>1.31</v>
      </c>
      <c r="D81">
        <f>_xlfn.XLOOKUP(insurance_policy_data!P153,Sheet2!$H$3:$H$5,Sheet2!$I$3:$I$5,,-1)</f>
        <v>1.45</v>
      </c>
      <c r="E81">
        <f>_xlfn.XLOOKUP(insurance_policy_data!M153,Sheet2!$K$3:$K$7,Sheet2!$L$3:$L$7,,-1)</f>
        <v>1.3</v>
      </c>
      <c r="F81">
        <f>_xlfn.XLOOKUP(insurance_policy_data!H153,Sheet2!$N$3:$N$9,Sheet2!$O$3:$O$9,,-1)</f>
        <v>1.25</v>
      </c>
      <c r="G81">
        <f>_xlfn.XLOOKUP(insurance_policy_data!L153,Sheet2!$Q$3:$Q$4,Sheet2!$R$3:$R$4)</f>
        <v>0.75</v>
      </c>
      <c r="H81">
        <f>_xlfn.XLOOKUP(insurance_policy_data!N153,Sheet2!$T$3:$T$5,Sheet2!$U$3:$U$5,,-1)</f>
        <v>1</v>
      </c>
      <c r="I81">
        <f t="shared" si="1"/>
        <v>250.02168749999998</v>
      </c>
    </row>
    <row r="82" spans="2:9" x14ac:dyDescent="0.3">
      <c r="B82">
        <f>_xlfn.XLOOKUP(insurance_policy_data!B57,Sheet2!$B$3:$B$8,Sheet2!$C$3:$C$8,,-1)</f>
        <v>1.21</v>
      </c>
      <c r="C82">
        <f>_xlfn.XLOOKUP(insurance_policy_data!I57,Sheet2!$E$3:$E$7,Sheet2!$F$3:$F$7,,-1)</f>
        <v>1.25</v>
      </c>
      <c r="D82">
        <f>_xlfn.XLOOKUP(insurance_policy_data!P57,Sheet2!$H$3:$H$5,Sheet2!$I$3:$I$5,,-1)</f>
        <v>1.45</v>
      </c>
      <c r="E82">
        <f>_xlfn.XLOOKUP(insurance_policy_data!M57,Sheet2!$K$3:$K$7,Sheet2!$L$3:$L$7,,-1)</f>
        <v>1.39</v>
      </c>
      <c r="F82">
        <f>_xlfn.XLOOKUP(insurance_policy_data!H57,Sheet2!$N$3:$N$9,Sheet2!$O$3:$O$9,,-1)</f>
        <v>1.25</v>
      </c>
      <c r="G82">
        <f>_xlfn.XLOOKUP(insurance_policy_data!L57,Sheet2!$Q$3:$Q$4,Sheet2!$R$3:$R$4)</f>
        <v>0.75</v>
      </c>
      <c r="H82">
        <f>_xlfn.XLOOKUP(insurance_policy_data!N57,Sheet2!$T$3:$T$5,Sheet2!$U$3:$U$5,,-1)</f>
        <v>1.1000000000000001</v>
      </c>
      <c r="I82">
        <f t="shared" si="1"/>
        <v>251.49660937500002</v>
      </c>
    </row>
    <row r="83" spans="2:9" x14ac:dyDescent="0.3">
      <c r="B83">
        <f>_xlfn.XLOOKUP(insurance_policy_data!B61,Sheet2!$B$3:$B$8,Sheet2!$C$3:$C$8,,-1)</f>
        <v>1.27</v>
      </c>
      <c r="C83">
        <f>_xlfn.XLOOKUP(insurance_policy_data!I61,Sheet2!$E$3:$E$7,Sheet2!$F$3:$F$7,,-1)</f>
        <v>1.25</v>
      </c>
      <c r="D83">
        <f>_xlfn.XLOOKUP(insurance_policy_data!P61,Sheet2!$H$3:$H$5,Sheet2!$I$3:$I$5,,-1)</f>
        <v>1.45</v>
      </c>
      <c r="E83">
        <f>_xlfn.XLOOKUP(insurance_policy_data!M61,Sheet2!$K$3:$K$7,Sheet2!$L$3:$L$7,,-1)</f>
        <v>1.39</v>
      </c>
      <c r="F83">
        <f>_xlfn.XLOOKUP(insurance_policy_data!H61,Sheet2!$N$3:$N$9,Sheet2!$O$3:$O$9,,-1)</f>
        <v>1.1000000000000001</v>
      </c>
      <c r="G83">
        <f>_xlfn.XLOOKUP(insurance_policy_data!L61,Sheet2!$Q$3:$Q$4,Sheet2!$R$3:$R$4)</f>
        <v>0.75</v>
      </c>
      <c r="H83">
        <f>_xlfn.XLOOKUP(insurance_policy_data!N61,Sheet2!$T$3:$T$5,Sheet2!$U$3:$U$5,,-1)</f>
        <v>1.2</v>
      </c>
      <c r="I83">
        <f t="shared" si="1"/>
        <v>253.40881499999998</v>
      </c>
    </row>
    <row r="84" spans="2:9" x14ac:dyDescent="0.3">
      <c r="B84">
        <f>_xlfn.XLOOKUP(insurance_policy_data!B252,Sheet2!$B$3:$B$8,Sheet2!$C$3:$C$8,,-1)</f>
        <v>1.34</v>
      </c>
      <c r="C84">
        <f>_xlfn.XLOOKUP(insurance_policy_data!I252,Sheet2!$E$3:$E$7,Sheet2!$F$3:$F$7,,-1)</f>
        <v>1.31</v>
      </c>
      <c r="D84">
        <f>_xlfn.XLOOKUP(insurance_policy_data!P252,Sheet2!$H$3:$H$5,Sheet2!$I$3:$I$5,,-1)</f>
        <v>1.45</v>
      </c>
      <c r="E84">
        <f>_xlfn.XLOOKUP(insurance_policy_data!M252,Sheet2!$K$3:$K$7,Sheet2!$L$3:$L$7,,-1)</f>
        <v>1.39</v>
      </c>
      <c r="F84">
        <f>_xlfn.XLOOKUP(insurance_policy_data!H252,Sheet2!$N$3:$N$9,Sheet2!$O$3:$O$9,,-1)</f>
        <v>1.2</v>
      </c>
      <c r="G84">
        <f>_xlfn.XLOOKUP(insurance_policy_data!L252,Sheet2!$Q$3:$Q$4,Sheet2!$R$3:$R$4)</f>
        <v>0.75</v>
      </c>
      <c r="H84">
        <f>_xlfn.XLOOKUP(insurance_policy_data!N252,Sheet2!$T$3:$T$5,Sheet2!$U$3:$U$5,,-1)</f>
        <v>1</v>
      </c>
      <c r="I84">
        <f t="shared" si="1"/>
        <v>254.73662639999992</v>
      </c>
    </row>
    <row r="85" spans="2:9" x14ac:dyDescent="0.3">
      <c r="B85">
        <f>_xlfn.XLOOKUP(insurance_policy_data!B160,Sheet2!$B$3:$B$8,Sheet2!$C$3:$C$8,,-1)</f>
        <v>1.27</v>
      </c>
      <c r="C85">
        <f>_xlfn.XLOOKUP(insurance_policy_data!I160,Sheet2!$E$3:$E$7,Sheet2!$F$3:$F$7,,-1)</f>
        <v>1.25</v>
      </c>
      <c r="D85">
        <f>_xlfn.XLOOKUP(insurance_policy_data!P160,Sheet2!$H$3:$H$5,Sheet2!$I$3:$I$5,,-1)</f>
        <v>1.45</v>
      </c>
      <c r="E85">
        <f>_xlfn.XLOOKUP(insurance_policy_data!M160,Sheet2!$K$3:$K$7,Sheet2!$L$3:$L$7,,-1)</f>
        <v>1.4</v>
      </c>
      <c r="F85">
        <f>_xlfn.XLOOKUP(insurance_policy_data!H160,Sheet2!$N$3:$N$9,Sheet2!$O$3:$O$9,,-1)</f>
        <v>1.2</v>
      </c>
      <c r="G85">
        <f>_xlfn.XLOOKUP(insurance_policy_data!L160,Sheet2!$Q$3:$Q$4,Sheet2!$R$3:$R$4)</f>
        <v>0.75</v>
      </c>
      <c r="H85">
        <f>_xlfn.XLOOKUP(insurance_policy_data!N160,Sheet2!$T$3:$T$5,Sheet2!$U$3:$U$5,,-1)</f>
        <v>1.1000000000000001</v>
      </c>
      <c r="I85">
        <f t="shared" si="1"/>
        <v>255.23190000000002</v>
      </c>
    </row>
    <row r="86" spans="2:9" x14ac:dyDescent="0.3">
      <c r="B86">
        <f>_xlfn.XLOOKUP(insurance_policy_data!B33,Sheet2!$B$3:$B$8,Sheet2!$C$3:$C$8,,-1)</f>
        <v>1.35</v>
      </c>
      <c r="C86">
        <f>_xlfn.XLOOKUP(insurance_policy_data!I33,Sheet2!$E$3:$E$7,Sheet2!$F$3:$F$7,,-1)</f>
        <v>1.31</v>
      </c>
      <c r="D86">
        <f>_xlfn.XLOOKUP(insurance_policy_data!P33,Sheet2!$H$3:$H$5,Sheet2!$I$3:$I$5,,-1)</f>
        <v>1.45</v>
      </c>
      <c r="E86">
        <f>_xlfn.XLOOKUP(insurance_policy_data!M33,Sheet2!$K$3:$K$7,Sheet2!$L$3:$L$7,,-1)</f>
        <v>1.26</v>
      </c>
      <c r="F86">
        <f>_xlfn.XLOOKUP(insurance_policy_data!H33,Sheet2!$N$3:$N$9,Sheet2!$O$3:$O$9,,-1)</f>
        <v>1.2</v>
      </c>
      <c r="G86">
        <f>_xlfn.XLOOKUP(insurance_policy_data!L33,Sheet2!$Q$3:$Q$4,Sheet2!$R$3:$R$4)</f>
        <v>0.75</v>
      </c>
      <c r="H86">
        <f>_xlfn.XLOOKUP(insurance_policy_data!N33,Sheet2!$T$3:$T$5,Sheet2!$U$3:$U$5,,-1)</f>
        <v>1.1000000000000001</v>
      </c>
      <c r="I86">
        <f t="shared" si="1"/>
        <v>255.89912040000002</v>
      </c>
    </row>
    <row r="87" spans="2:9" x14ac:dyDescent="0.3">
      <c r="B87">
        <f>_xlfn.XLOOKUP(insurance_policy_data!B227,Sheet2!$B$3:$B$8,Sheet2!$C$3:$C$8,,-1)</f>
        <v>1.21</v>
      </c>
      <c r="C87">
        <f>_xlfn.XLOOKUP(insurance_policy_data!I227,Sheet2!$E$3:$E$7,Sheet2!$F$3:$F$7,,-1)</f>
        <v>1.25</v>
      </c>
      <c r="D87">
        <f>_xlfn.XLOOKUP(insurance_policy_data!P227,Sheet2!$H$3:$H$5,Sheet2!$I$3:$I$5,,-1)</f>
        <v>1.45</v>
      </c>
      <c r="E87">
        <f>_xlfn.XLOOKUP(insurance_policy_data!M227,Sheet2!$K$3:$K$7,Sheet2!$L$3:$L$7,,-1)</f>
        <v>1.3</v>
      </c>
      <c r="F87">
        <f>_xlfn.XLOOKUP(insurance_policy_data!H227,Sheet2!$N$3:$N$9,Sheet2!$O$3:$O$9,,-1)</f>
        <v>1.36</v>
      </c>
      <c r="G87">
        <f>_xlfn.XLOOKUP(insurance_policy_data!L227,Sheet2!$Q$3:$Q$4,Sheet2!$R$3:$R$4)</f>
        <v>0.75</v>
      </c>
      <c r="H87">
        <f>_xlfn.XLOOKUP(insurance_policy_data!N227,Sheet2!$T$3:$T$5,Sheet2!$U$3:$U$5,,-1)</f>
        <v>1.1000000000000001</v>
      </c>
      <c r="I87">
        <f t="shared" si="1"/>
        <v>255.91137000000003</v>
      </c>
    </row>
    <row r="88" spans="2:9" x14ac:dyDescent="0.3">
      <c r="B88">
        <f>_xlfn.XLOOKUP(insurance_policy_data!B24,Sheet2!$B$3:$B$8,Sheet2!$C$3:$C$8,,-1)</f>
        <v>1.35</v>
      </c>
      <c r="C88">
        <f>_xlfn.XLOOKUP(insurance_policy_data!I24,Sheet2!$E$3:$E$7,Sheet2!$F$3:$F$7,,-1)</f>
        <v>1.31</v>
      </c>
      <c r="D88">
        <f>_xlfn.XLOOKUP(insurance_policy_data!P24,Sheet2!$H$3:$H$5,Sheet2!$I$3:$I$5,,-1)</f>
        <v>1.45</v>
      </c>
      <c r="E88">
        <f>_xlfn.XLOOKUP(insurance_policy_data!M24,Sheet2!$K$3:$K$7,Sheet2!$L$3:$L$7,,-1)</f>
        <v>1.39</v>
      </c>
      <c r="F88">
        <f>_xlfn.XLOOKUP(insurance_policy_data!H24,Sheet2!$N$3:$N$9,Sheet2!$O$3:$O$9,,-1)</f>
        <v>1.2</v>
      </c>
      <c r="G88">
        <f>_xlfn.XLOOKUP(insurance_policy_data!L24,Sheet2!$Q$3:$Q$4,Sheet2!$R$3:$R$4)</f>
        <v>0.75</v>
      </c>
      <c r="H88">
        <f>_xlfn.XLOOKUP(insurance_policy_data!N24,Sheet2!$T$3:$T$5,Sheet2!$U$3:$U$5,,-1)</f>
        <v>1</v>
      </c>
      <c r="I88">
        <f t="shared" si="1"/>
        <v>256.63764600000002</v>
      </c>
    </row>
    <row r="89" spans="2:9" x14ac:dyDescent="0.3">
      <c r="B89">
        <f>_xlfn.XLOOKUP(insurance_policy_data!B53,Sheet2!$B$3:$B$8,Sheet2!$C$3:$C$8,,-1)</f>
        <v>1.35</v>
      </c>
      <c r="C89">
        <f>_xlfn.XLOOKUP(insurance_policy_data!I53,Sheet2!$E$3:$E$7,Sheet2!$F$3:$F$7,,-1)</f>
        <v>1.31</v>
      </c>
      <c r="D89">
        <f>_xlfn.XLOOKUP(insurance_policy_data!P53,Sheet2!$H$3:$H$5,Sheet2!$I$3:$I$5,,-1)</f>
        <v>1.45</v>
      </c>
      <c r="E89">
        <f>_xlfn.XLOOKUP(insurance_policy_data!M53,Sheet2!$K$3:$K$7,Sheet2!$L$3:$L$7,,-1)</f>
        <v>1.26</v>
      </c>
      <c r="F89">
        <f>_xlfn.XLOOKUP(insurance_policy_data!H53,Sheet2!$N$3:$N$9,Sheet2!$O$3:$O$9,,-1)</f>
        <v>1.33</v>
      </c>
      <c r="G89">
        <f>_xlfn.XLOOKUP(insurance_policy_data!L53,Sheet2!$Q$3:$Q$4,Sheet2!$R$3:$R$4)</f>
        <v>0.75</v>
      </c>
      <c r="H89">
        <f>_xlfn.XLOOKUP(insurance_policy_data!N53,Sheet2!$T$3:$T$5,Sheet2!$U$3:$U$5,,-1)</f>
        <v>1</v>
      </c>
      <c r="I89">
        <f t="shared" si="1"/>
        <v>257.83775010000005</v>
      </c>
    </row>
    <row r="90" spans="2:9" x14ac:dyDescent="0.3">
      <c r="B90">
        <f>_xlfn.XLOOKUP(insurance_policy_data!B201,Sheet2!$B$3:$B$8,Sheet2!$C$3:$C$8,,-1)</f>
        <v>1.35</v>
      </c>
      <c r="C90">
        <f>_xlfn.XLOOKUP(insurance_policy_data!I201,Sheet2!$E$3:$E$7,Sheet2!$F$3:$F$7,,-1)</f>
        <v>1.31</v>
      </c>
      <c r="D90">
        <f>_xlfn.XLOOKUP(insurance_policy_data!P201,Sheet2!$H$3:$H$5,Sheet2!$I$3:$I$5,,-1)</f>
        <v>1.45</v>
      </c>
      <c r="E90">
        <f>_xlfn.XLOOKUP(insurance_policy_data!M201,Sheet2!$K$3:$K$7,Sheet2!$L$3:$L$7,,-1)</f>
        <v>1.39</v>
      </c>
      <c r="F90">
        <f>_xlfn.XLOOKUP(insurance_policy_data!H201,Sheet2!$N$3:$N$9,Sheet2!$O$3:$O$9,,-1)</f>
        <v>1.1000000000000001</v>
      </c>
      <c r="G90">
        <f>_xlfn.XLOOKUP(insurance_policy_data!L201,Sheet2!$Q$3:$Q$4,Sheet2!$R$3:$R$4)</f>
        <v>0.75</v>
      </c>
      <c r="H90">
        <f>_xlfn.XLOOKUP(insurance_policy_data!N201,Sheet2!$T$3:$T$5,Sheet2!$U$3:$U$5,,-1)</f>
        <v>1.1000000000000001</v>
      </c>
      <c r="I90">
        <f t="shared" si="1"/>
        <v>258.77629305000005</v>
      </c>
    </row>
    <row r="91" spans="2:9" x14ac:dyDescent="0.3">
      <c r="B91">
        <f>_xlfn.XLOOKUP(insurance_policy_data!B120,Sheet2!$B$3:$B$8,Sheet2!$C$3:$C$8,,-1)</f>
        <v>1.21</v>
      </c>
      <c r="C91">
        <f>_xlfn.XLOOKUP(insurance_policy_data!I120,Sheet2!$E$3:$E$7,Sheet2!$F$3:$F$7,,-1)</f>
        <v>1.25</v>
      </c>
      <c r="D91">
        <f>_xlfn.XLOOKUP(insurance_policy_data!P120,Sheet2!$H$3:$H$5,Sheet2!$I$3:$I$5,,-1)</f>
        <v>1</v>
      </c>
      <c r="E91">
        <f>_xlfn.XLOOKUP(insurance_policy_data!M120,Sheet2!$K$3:$K$7,Sheet2!$L$3:$L$7,,-1)</f>
        <v>1.3</v>
      </c>
      <c r="F91">
        <f>_xlfn.XLOOKUP(insurance_policy_data!H120,Sheet2!$N$3:$N$9,Sheet2!$O$3:$O$9,,-1)</f>
        <v>1.1000000000000001</v>
      </c>
      <c r="G91">
        <f>_xlfn.XLOOKUP(insurance_policy_data!L120,Sheet2!$Q$3:$Q$4,Sheet2!$R$3:$R$4)</f>
        <v>1.5</v>
      </c>
      <c r="H91">
        <f>_xlfn.XLOOKUP(insurance_policy_data!N120,Sheet2!$T$3:$T$5,Sheet2!$U$3:$U$5,,-1)</f>
        <v>1</v>
      </c>
      <c r="I91">
        <f t="shared" si="1"/>
        <v>259.54500000000002</v>
      </c>
    </row>
    <row r="92" spans="2:9" x14ac:dyDescent="0.3">
      <c r="B92">
        <f>_xlfn.XLOOKUP(insurance_policy_data!B247,Sheet2!$B$3:$B$8,Sheet2!$C$3:$C$8,,-1)</f>
        <v>1.21</v>
      </c>
      <c r="C92">
        <f>_xlfn.XLOOKUP(insurance_policy_data!I247,Sheet2!$E$3:$E$7,Sheet2!$F$3:$F$7,,-1)</f>
        <v>1.25</v>
      </c>
      <c r="D92">
        <f>_xlfn.XLOOKUP(insurance_policy_data!P247,Sheet2!$H$3:$H$5,Sheet2!$I$3:$I$5,,-1)</f>
        <v>1</v>
      </c>
      <c r="E92">
        <f>_xlfn.XLOOKUP(insurance_policy_data!M247,Sheet2!$K$3:$K$7,Sheet2!$L$3:$L$7,,-1)</f>
        <v>1.3</v>
      </c>
      <c r="F92">
        <f>_xlfn.XLOOKUP(insurance_policy_data!H247,Sheet2!$N$3:$N$9,Sheet2!$O$3:$O$9,,-1)</f>
        <v>1.1000000000000001</v>
      </c>
      <c r="G92">
        <f>_xlfn.XLOOKUP(insurance_policy_data!L247,Sheet2!$Q$3:$Q$4,Sheet2!$R$3:$R$4)</f>
        <v>1.5</v>
      </c>
      <c r="H92">
        <f>_xlfn.XLOOKUP(insurance_policy_data!N247,Sheet2!$T$3:$T$5,Sheet2!$U$3:$U$5,,-1)</f>
        <v>1</v>
      </c>
      <c r="I92">
        <f t="shared" si="1"/>
        <v>259.54500000000002</v>
      </c>
    </row>
    <row r="93" spans="2:9" x14ac:dyDescent="0.3">
      <c r="B93">
        <f>_xlfn.XLOOKUP(insurance_policy_data!B261,Sheet2!$B$3:$B$8,Sheet2!$C$3:$C$8,,-1)</f>
        <v>1.27</v>
      </c>
      <c r="C93">
        <f>_xlfn.XLOOKUP(insurance_policy_data!I261,Sheet2!$E$3:$E$7,Sheet2!$F$3:$F$7,,-1)</f>
        <v>1.25</v>
      </c>
      <c r="D93">
        <f>_xlfn.XLOOKUP(insurance_policy_data!P261,Sheet2!$H$3:$H$5,Sheet2!$I$3:$I$5,,-1)</f>
        <v>1.45</v>
      </c>
      <c r="E93">
        <f>_xlfn.XLOOKUP(insurance_policy_data!M261,Sheet2!$K$3:$K$7,Sheet2!$L$3:$L$7,,-1)</f>
        <v>1.3</v>
      </c>
      <c r="F93">
        <f>_xlfn.XLOOKUP(insurance_policy_data!H261,Sheet2!$N$3:$N$9,Sheet2!$O$3:$O$9,,-1)</f>
        <v>1.33</v>
      </c>
      <c r="G93">
        <f>_xlfn.XLOOKUP(insurance_policy_data!L261,Sheet2!$Q$3:$Q$4,Sheet2!$R$3:$R$4)</f>
        <v>0.75</v>
      </c>
      <c r="H93">
        <f>_xlfn.XLOOKUP(insurance_policy_data!N261,Sheet2!$T$3:$T$5,Sheet2!$U$3:$U$5,,-1)</f>
        <v>1.1000000000000001</v>
      </c>
      <c r="I93">
        <f t="shared" si="1"/>
        <v>262.67616375</v>
      </c>
    </row>
    <row r="94" spans="2:9" x14ac:dyDescent="0.3">
      <c r="B94">
        <f>_xlfn.XLOOKUP(insurance_policy_data!B84,Sheet2!$B$3:$B$8,Sheet2!$C$3:$C$8,,-1)</f>
        <v>1.25</v>
      </c>
      <c r="C94">
        <f>_xlfn.XLOOKUP(insurance_policy_data!I84,Sheet2!$E$3:$E$7,Sheet2!$F$3:$F$7,,-1)</f>
        <v>1.3</v>
      </c>
      <c r="D94">
        <f>_xlfn.XLOOKUP(insurance_policy_data!P84,Sheet2!$H$3:$H$5,Sheet2!$I$3:$I$5,,-1)</f>
        <v>1.45</v>
      </c>
      <c r="E94">
        <f>_xlfn.XLOOKUP(insurance_policy_data!M84,Sheet2!$K$3:$K$7,Sheet2!$L$3:$L$7,,-1)</f>
        <v>1.4</v>
      </c>
      <c r="F94">
        <f>_xlfn.XLOOKUP(insurance_policy_data!H84,Sheet2!$N$3:$N$9,Sheet2!$O$3:$O$9,,-1)</f>
        <v>1.33</v>
      </c>
      <c r="G94">
        <f>_xlfn.XLOOKUP(insurance_policy_data!L84,Sheet2!$Q$3:$Q$4,Sheet2!$R$3:$R$4)</f>
        <v>0.75</v>
      </c>
      <c r="H94">
        <f>_xlfn.XLOOKUP(insurance_policy_data!N84,Sheet2!$T$3:$T$5,Sheet2!$U$3:$U$5,,-1)</f>
        <v>1</v>
      </c>
      <c r="I94">
        <f t="shared" si="1"/>
        <v>263.24025</v>
      </c>
    </row>
    <row r="95" spans="2:9" x14ac:dyDescent="0.3">
      <c r="B95">
        <f>_xlfn.XLOOKUP(insurance_policy_data!B96,Sheet2!$B$3:$B$8,Sheet2!$C$3:$C$8,,-1)</f>
        <v>1.21</v>
      </c>
      <c r="C95">
        <f>_xlfn.XLOOKUP(insurance_policy_data!I96,Sheet2!$E$3:$E$7,Sheet2!$F$3:$F$7,,-1)</f>
        <v>1.25</v>
      </c>
      <c r="D95">
        <f>_xlfn.XLOOKUP(insurance_policy_data!P96,Sheet2!$H$3:$H$5,Sheet2!$I$3:$I$5,,-1)</f>
        <v>1.45</v>
      </c>
      <c r="E95">
        <f>_xlfn.XLOOKUP(insurance_policy_data!M96,Sheet2!$K$3:$K$7,Sheet2!$L$3:$L$7,,-1)</f>
        <v>1.39</v>
      </c>
      <c r="F95">
        <f>_xlfn.XLOOKUP(insurance_policy_data!H96,Sheet2!$N$3:$N$9,Sheet2!$O$3:$O$9,,-1)</f>
        <v>1.2</v>
      </c>
      <c r="G95">
        <f>_xlfn.XLOOKUP(insurance_policy_data!L96,Sheet2!$Q$3:$Q$4,Sheet2!$R$3:$R$4)</f>
        <v>0.75</v>
      </c>
      <c r="H95">
        <f>_xlfn.XLOOKUP(insurance_policy_data!N96,Sheet2!$T$3:$T$5,Sheet2!$U$3:$U$5,,-1)</f>
        <v>1.2</v>
      </c>
      <c r="I95">
        <f t="shared" si="1"/>
        <v>263.38553999999993</v>
      </c>
    </row>
    <row r="96" spans="2:9" x14ac:dyDescent="0.3">
      <c r="B96">
        <f>_xlfn.XLOOKUP(insurance_policy_data!B176,Sheet2!$B$3:$B$8,Sheet2!$C$3:$C$8,,-1)</f>
        <v>1.35</v>
      </c>
      <c r="C96">
        <f>_xlfn.XLOOKUP(insurance_policy_data!I176,Sheet2!$E$3:$E$7,Sheet2!$F$3:$F$7,,-1)</f>
        <v>1.31</v>
      </c>
      <c r="D96">
        <f>_xlfn.XLOOKUP(insurance_policy_data!P176,Sheet2!$H$3:$H$5,Sheet2!$I$3:$I$5,,-1)</f>
        <v>1.45</v>
      </c>
      <c r="E96">
        <f>_xlfn.XLOOKUP(insurance_policy_data!M176,Sheet2!$K$3:$K$7,Sheet2!$L$3:$L$7,,-1)</f>
        <v>1.26</v>
      </c>
      <c r="F96">
        <f>_xlfn.XLOOKUP(insurance_policy_data!H176,Sheet2!$N$3:$N$9,Sheet2!$O$3:$O$9,,-1)</f>
        <v>1.36</v>
      </c>
      <c r="G96">
        <f>_xlfn.XLOOKUP(insurance_policy_data!L176,Sheet2!$Q$3:$Q$4,Sheet2!$R$3:$R$4)</f>
        <v>0.75</v>
      </c>
      <c r="H96">
        <f>_xlfn.XLOOKUP(insurance_policy_data!N176,Sheet2!$T$3:$T$5,Sheet2!$U$3:$U$5,,-1)</f>
        <v>1</v>
      </c>
      <c r="I96">
        <f t="shared" si="1"/>
        <v>263.65363920000004</v>
      </c>
    </row>
    <row r="97" spans="2:9" x14ac:dyDescent="0.3">
      <c r="B97">
        <f>_xlfn.XLOOKUP(insurance_policy_data!B186,Sheet2!$B$3:$B$8,Sheet2!$C$3:$C$8,,-1)</f>
        <v>1.25</v>
      </c>
      <c r="C97">
        <f>_xlfn.XLOOKUP(insurance_policy_data!I186,Sheet2!$E$3:$E$7,Sheet2!$F$3:$F$7,,-1)</f>
        <v>1.25</v>
      </c>
      <c r="D97">
        <f>_xlfn.XLOOKUP(insurance_policy_data!P186,Sheet2!$H$3:$H$5,Sheet2!$I$3:$I$5,,-1)</f>
        <v>1.45</v>
      </c>
      <c r="E97">
        <f>_xlfn.XLOOKUP(insurance_policy_data!M186,Sheet2!$K$3:$K$7,Sheet2!$L$3:$L$7,,-1)</f>
        <v>1.26</v>
      </c>
      <c r="F97">
        <f>_xlfn.XLOOKUP(insurance_policy_data!H186,Sheet2!$N$3:$N$9,Sheet2!$O$3:$O$9,,-1)</f>
        <v>1.29</v>
      </c>
      <c r="G97">
        <f>_xlfn.XLOOKUP(insurance_policy_data!L186,Sheet2!$Q$3:$Q$4,Sheet2!$R$3:$R$4)</f>
        <v>0.75</v>
      </c>
      <c r="H97">
        <f>_xlfn.XLOOKUP(insurance_policy_data!N186,Sheet2!$T$3:$T$5,Sheet2!$U$3:$U$5,,-1)</f>
        <v>1.2</v>
      </c>
      <c r="I97">
        <f t="shared" si="1"/>
        <v>265.14337499999999</v>
      </c>
    </row>
    <row r="98" spans="2:9" x14ac:dyDescent="0.3">
      <c r="B98">
        <f>_xlfn.XLOOKUP(insurance_policy_data!B28,Sheet2!$B$3:$B$8,Sheet2!$C$3:$C$8,,-1)</f>
        <v>1.34</v>
      </c>
      <c r="C98">
        <f>_xlfn.XLOOKUP(insurance_policy_data!I28,Sheet2!$E$3:$E$7,Sheet2!$F$3:$F$7,,-1)</f>
        <v>1.3</v>
      </c>
      <c r="D98">
        <f>_xlfn.XLOOKUP(insurance_policy_data!P28,Sheet2!$H$3:$H$5,Sheet2!$I$3:$I$5,,-1)</f>
        <v>1.45</v>
      </c>
      <c r="E98">
        <f>_xlfn.XLOOKUP(insurance_policy_data!M28,Sheet2!$K$3:$K$7,Sheet2!$L$3:$L$7,,-1)</f>
        <v>1.4</v>
      </c>
      <c r="F98">
        <f>_xlfn.XLOOKUP(insurance_policy_data!H28,Sheet2!$N$3:$N$9,Sheet2!$O$3:$O$9,,-1)</f>
        <v>1.25</v>
      </c>
      <c r="G98">
        <f>_xlfn.XLOOKUP(insurance_policy_data!L28,Sheet2!$Q$3:$Q$4,Sheet2!$R$3:$R$4)</f>
        <v>0.75</v>
      </c>
      <c r="H98">
        <f>_xlfn.XLOOKUP(insurance_policy_data!N28,Sheet2!$T$3:$T$5,Sheet2!$U$3:$U$5,,-1)</f>
        <v>1</v>
      </c>
      <c r="I98">
        <f t="shared" si="1"/>
        <v>265.21949999999998</v>
      </c>
    </row>
    <row r="99" spans="2:9" x14ac:dyDescent="0.3">
      <c r="B99">
        <f>_xlfn.XLOOKUP(insurance_policy_data!B158,Sheet2!$B$3:$B$8,Sheet2!$C$3:$C$8,,-1)</f>
        <v>1.35</v>
      </c>
      <c r="C99">
        <f>_xlfn.XLOOKUP(insurance_policy_data!I158,Sheet2!$E$3:$E$7,Sheet2!$F$3:$F$7,,-1)</f>
        <v>1.31</v>
      </c>
      <c r="D99">
        <f>_xlfn.XLOOKUP(insurance_policy_data!P158,Sheet2!$H$3:$H$5,Sheet2!$I$3:$I$5,,-1)</f>
        <v>1.45</v>
      </c>
      <c r="E99">
        <f>_xlfn.XLOOKUP(insurance_policy_data!M158,Sheet2!$K$3:$K$7,Sheet2!$L$3:$L$7,,-1)</f>
        <v>1.26</v>
      </c>
      <c r="F99">
        <f>_xlfn.XLOOKUP(insurance_policy_data!H158,Sheet2!$N$3:$N$9,Sheet2!$O$3:$O$9,,-1)</f>
        <v>1.25</v>
      </c>
      <c r="G99">
        <f>_xlfn.XLOOKUP(insurance_policy_data!L158,Sheet2!$Q$3:$Q$4,Sheet2!$R$3:$R$4)</f>
        <v>0.75</v>
      </c>
      <c r="H99">
        <f>_xlfn.XLOOKUP(insurance_policy_data!N158,Sheet2!$T$3:$T$5,Sheet2!$U$3:$U$5,,-1)</f>
        <v>1.1000000000000001</v>
      </c>
      <c r="I99">
        <f t="shared" si="1"/>
        <v>266.56158375000007</v>
      </c>
    </row>
    <row r="100" spans="2:9" x14ac:dyDescent="0.3">
      <c r="B100">
        <f>_xlfn.XLOOKUP(insurance_policy_data!B77,Sheet2!$B$3:$B$8,Sheet2!$C$3:$C$8,,-1)</f>
        <v>1.25</v>
      </c>
      <c r="C100">
        <f>_xlfn.XLOOKUP(insurance_policy_data!I77,Sheet2!$E$3:$E$7,Sheet2!$F$3:$F$7,,-1)</f>
        <v>1.25</v>
      </c>
      <c r="D100">
        <f>_xlfn.XLOOKUP(insurance_policy_data!P77,Sheet2!$H$3:$H$5,Sheet2!$I$3:$I$5,,-1)</f>
        <v>1.45</v>
      </c>
      <c r="E100">
        <f>_xlfn.XLOOKUP(insurance_policy_data!M77,Sheet2!$K$3:$K$7,Sheet2!$L$3:$L$7,,-1)</f>
        <v>1.39</v>
      </c>
      <c r="F100">
        <f>_xlfn.XLOOKUP(insurance_policy_data!H77,Sheet2!$N$3:$N$9,Sheet2!$O$3:$O$9,,-1)</f>
        <v>1.29</v>
      </c>
      <c r="G100">
        <f>_xlfn.XLOOKUP(insurance_policy_data!L77,Sheet2!$Q$3:$Q$4,Sheet2!$R$3:$R$4)</f>
        <v>0.75</v>
      </c>
      <c r="H100">
        <f>_xlfn.XLOOKUP(insurance_policy_data!N77,Sheet2!$T$3:$T$5,Sheet2!$U$3:$U$5,,-1)</f>
        <v>1.1000000000000001</v>
      </c>
      <c r="I100">
        <f t="shared" si="1"/>
        <v>268.12448437500001</v>
      </c>
    </row>
    <row r="101" spans="2:9" x14ac:dyDescent="0.3">
      <c r="B101">
        <f>_xlfn.XLOOKUP(insurance_policy_data!B13,Sheet2!$B$3:$B$8,Sheet2!$C$3:$C$8,,-1)</f>
        <v>1.25</v>
      </c>
      <c r="C101">
        <f>_xlfn.XLOOKUP(insurance_policy_data!I13,Sheet2!$E$3:$E$7,Sheet2!$F$3:$F$7,,-1)</f>
        <v>1.3</v>
      </c>
      <c r="D101">
        <f>_xlfn.XLOOKUP(insurance_policy_data!P13,Sheet2!$H$3:$H$5,Sheet2!$I$3:$I$5,,-1)</f>
        <v>1.45</v>
      </c>
      <c r="E101">
        <f>_xlfn.XLOOKUP(insurance_policy_data!M13,Sheet2!$K$3:$K$7,Sheet2!$L$3:$L$7,,-1)</f>
        <v>1.4</v>
      </c>
      <c r="F101">
        <f>_xlfn.XLOOKUP(insurance_policy_data!H13,Sheet2!$N$3:$N$9,Sheet2!$O$3:$O$9,,-1)</f>
        <v>1.36</v>
      </c>
      <c r="G101">
        <f>_xlfn.XLOOKUP(insurance_policy_data!L13,Sheet2!$Q$3:$Q$4,Sheet2!$R$3:$R$4)</f>
        <v>0.75</v>
      </c>
      <c r="H101">
        <f>_xlfn.XLOOKUP(insurance_policy_data!N13,Sheet2!$T$3:$T$5,Sheet2!$U$3:$U$5,,-1)</f>
        <v>1</v>
      </c>
      <c r="I101">
        <f t="shared" si="1"/>
        <v>269.178</v>
      </c>
    </row>
    <row r="102" spans="2:9" x14ac:dyDescent="0.3">
      <c r="B102">
        <f>_xlfn.XLOOKUP(insurance_policy_data!B22,Sheet2!$B$3:$B$8,Sheet2!$C$3:$C$8,,-1)</f>
        <v>1.28</v>
      </c>
      <c r="C102">
        <f>_xlfn.XLOOKUP(insurance_policy_data!I22,Sheet2!$E$3:$E$7,Sheet2!$F$3:$F$7,,-1)</f>
        <v>1.32</v>
      </c>
      <c r="D102">
        <f>_xlfn.XLOOKUP(insurance_policy_data!P22,Sheet2!$H$3:$H$5,Sheet2!$I$3:$I$5,,-1)</f>
        <v>1.45</v>
      </c>
      <c r="E102">
        <f>_xlfn.XLOOKUP(insurance_policy_data!M22,Sheet2!$K$3:$K$7,Sheet2!$L$3:$L$7,,-1)</f>
        <v>1.39</v>
      </c>
      <c r="F102">
        <f>_xlfn.XLOOKUP(insurance_policy_data!H22,Sheet2!$N$3:$N$9,Sheet2!$O$3:$O$9,,-1)</f>
        <v>1.1000000000000001</v>
      </c>
      <c r="G102">
        <f>_xlfn.XLOOKUP(insurance_policy_data!L22,Sheet2!$Q$3:$Q$4,Sheet2!$R$3:$R$4)</f>
        <v>0.75</v>
      </c>
      <c r="H102">
        <f>_xlfn.XLOOKUP(insurance_policy_data!N22,Sheet2!$T$3:$T$5,Sheet2!$U$3:$U$5,,-1)</f>
        <v>1.2</v>
      </c>
      <c r="I102">
        <f t="shared" si="1"/>
        <v>269.70679296000003</v>
      </c>
    </row>
    <row r="103" spans="2:9" x14ac:dyDescent="0.3">
      <c r="B103">
        <f>_xlfn.XLOOKUP(insurance_policy_data!B234,Sheet2!$B$3:$B$8,Sheet2!$C$3:$C$8,,-1)</f>
        <v>1.34</v>
      </c>
      <c r="C103">
        <f>_xlfn.XLOOKUP(insurance_policy_data!I234,Sheet2!$E$3:$E$7,Sheet2!$F$3:$F$7,,-1)</f>
        <v>1.3</v>
      </c>
      <c r="D103">
        <f>_xlfn.XLOOKUP(insurance_policy_data!P234,Sheet2!$H$3:$H$5,Sheet2!$I$3:$I$5,,-1)</f>
        <v>1.45</v>
      </c>
      <c r="E103">
        <f>_xlfn.XLOOKUP(insurance_policy_data!M234,Sheet2!$K$3:$K$7,Sheet2!$L$3:$L$7,,-1)</f>
        <v>1.4</v>
      </c>
      <c r="F103">
        <f>_xlfn.XLOOKUP(insurance_policy_data!H234,Sheet2!$N$3:$N$9,Sheet2!$O$3:$O$9,,-1)</f>
        <v>1.29</v>
      </c>
      <c r="G103">
        <f>_xlfn.XLOOKUP(insurance_policy_data!L234,Sheet2!$Q$3:$Q$4,Sheet2!$R$3:$R$4)</f>
        <v>0.75</v>
      </c>
      <c r="H103">
        <f>_xlfn.XLOOKUP(insurance_policy_data!N234,Sheet2!$T$3:$T$5,Sheet2!$U$3:$U$5,,-1)</f>
        <v>1</v>
      </c>
      <c r="I103">
        <f t="shared" si="1"/>
        <v>273.706524</v>
      </c>
    </row>
    <row r="104" spans="2:9" x14ac:dyDescent="0.3">
      <c r="B104">
        <f>_xlfn.XLOOKUP(insurance_policy_data!B21,Sheet2!$B$3:$B$8,Sheet2!$C$3:$C$8,,-1)</f>
        <v>1.21</v>
      </c>
      <c r="C104">
        <f>_xlfn.XLOOKUP(insurance_policy_data!I21,Sheet2!$E$3:$E$7,Sheet2!$F$3:$F$7,,-1)</f>
        <v>1.25</v>
      </c>
      <c r="D104">
        <f>_xlfn.XLOOKUP(insurance_policy_data!P21,Sheet2!$H$3:$H$5,Sheet2!$I$3:$I$5,,-1)</f>
        <v>1.45</v>
      </c>
      <c r="E104">
        <f>_xlfn.XLOOKUP(insurance_policy_data!M21,Sheet2!$K$3:$K$7,Sheet2!$L$3:$L$7,,-1)</f>
        <v>1.39</v>
      </c>
      <c r="F104">
        <f>_xlfn.XLOOKUP(insurance_policy_data!H21,Sheet2!$N$3:$N$9,Sheet2!$O$3:$O$9,,-1)</f>
        <v>1.25</v>
      </c>
      <c r="G104">
        <f>_xlfn.XLOOKUP(insurance_policy_data!L21,Sheet2!$Q$3:$Q$4,Sheet2!$R$3:$R$4)</f>
        <v>0.75</v>
      </c>
      <c r="H104">
        <f>_xlfn.XLOOKUP(insurance_policy_data!N21,Sheet2!$T$3:$T$5,Sheet2!$U$3:$U$5,,-1)</f>
        <v>1.2</v>
      </c>
      <c r="I104">
        <f t="shared" si="1"/>
        <v>274.3599375</v>
      </c>
    </row>
    <row r="105" spans="2:9" x14ac:dyDescent="0.3">
      <c r="B105">
        <f>_xlfn.XLOOKUP(insurance_policy_data!B34,Sheet2!$B$3:$B$8,Sheet2!$C$3:$C$8,,-1)</f>
        <v>1.25</v>
      </c>
      <c r="C105">
        <f>_xlfn.XLOOKUP(insurance_policy_data!I34,Sheet2!$E$3:$E$7,Sheet2!$F$3:$F$7,,-1)</f>
        <v>1.3</v>
      </c>
      <c r="D105">
        <f>_xlfn.XLOOKUP(insurance_policy_data!P34,Sheet2!$H$3:$H$5,Sheet2!$I$3:$I$5,,-1)</f>
        <v>1.45</v>
      </c>
      <c r="E105">
        <f>_xlfn.XLOOKUP(insurance_policy_data!M34,Sheet2!$K$3:$K$7,Sheet2!$L$3:$L$7,,-1)</f>
        <v>1.26</v>
      </c>
      <c r="F105">
        <f>_xlfn.XLOOKUP(insurance_policy_data!H34,Sheet2!$N$3:$N$9,Sheet2!$O$3:$O$9,,-1)</f>
        <v>1.29</v>
      </c>
      <c r="G105">
        <f>_xlfn.XLOOKUP(insurance_policy_data!L34,Sheet2!$Q$3:$Q$4,Sheet2!$R$3:$R$4)</f>
        <v>0.75</v>
      </c>
      <c r="H105">
        <f>_xlfn.XLOOKUP(insurance_policy_data!N34,Sheet2!$T$3:$T$5,Sheet2!$U$3:$U$5,,-1)</f>
        <v>1.2</v>
      </c>
      <c r="I105">
        <f t="shared" si="1"/>
        <v>275.74910999999997</v>
      </c>
    </row>
    <row r="106" spans="2:9" x14ac:dyDescent="0.3">
      <c r="B106">
        <f>_xlfn.XLOOKUP(insurance_policy_data!B299,Sheet2!$B$3:$B$8,Sheet2!$C$3:$C$8,,-1)</f>
        <v>1.27</v>
      </c>
      <c r="C106">
        <f>_xlfn.XLOOKUP(insurance_policy_data!I299,Sheet2!$E$3:$E$7,Sheet2!$F$3:$F$7,,-1)</f>
        <v>1.25</v>
      </c>
      <c r="D106">
        <f>_xlfn.XLOOKUP(insurance_policy_data!P299,Sheet2!$H$3:$H$5,Sheet2!$I$3:$I$5,,-1)</f>
        <v>1.45</v>
      </c>
      <c r="E106">
        <f>_xlfn.XLOOKUP(insurance_policy_data!M299,Sheet2!$K$3:$K$7,Sheet2!$L$3:$L$7,,-1)</f>
        <v>1.39</v>
      </c>
      <c r="F106">
        <f>_xlfn.XLOOKUP(insurance_policy_data!H299,Sheet2!$N$3:$N$9,Sheet2!$O$3:$O$9,,-1)</f>
        <v>1.2</v>
      </c>
      <c r="G106">
        <f>_xlfn.XLOOKUP(insurance_policy_data!L299,Sheet2!$Q$3:$Q$4,Sheet2!$R$3:$R$4)</f>
        <v>0.75</v>
      </c>
      <c r="H106">
        <f>_xlfn.XLOOKUP(insurance_policy_data!N299,Sheet2!$T$3:$T$5,Sheet2!$U$3:$U$5,,-1)</f>
        <v>1.2</v>
      </c>
      <c r="I106">
        <f t="shared" si="1"/>
        <v>276.44597999999991</v>
      </c>
    </row>
    <row r="107" spans="2:9" x14ac:dyDescent="0.3">
      <c r="B107">
        <f>_xlfn.XLOOKUP(insurance_policy_data!B219,Sheet2!$B$3:$B$8,Sheet2!$C$3:$C$8,,-1)</f>
        <v>1.35</v>
      </c>
      <c r="C107">
        <f>_xlfn.XLOOKUP(insurance_policy_data!I219,Sheet2!$E$3:$E$7,Sheet2!$F$3:$F$7,,-1)</f>
        <v>1.31</v>
      </c>
      <c r="D107">
        <f>_xlfn.XLOOKUP(insurance_policy_data!P219,Sheet2!$H$3:$H$5,Sheet2!$I$3:$I$5,,-1)</f>
        <v>1.45</v>
      </c>
      <c r="E107">
        <f>_xlfn.XLOOKUP(insurance_policy_data!M219,Sheet2!$K$3:$K$7,Sheet2!$L$3:$L$7,,-1)</f>
        <v>1.4</v>
      </c>
      <c r="F107">
        <f>_xlfn.XLOOKUP(insurance_policy_data!H219,Sheet2!$N$3:$N$9,Sheet2!$O$3:$O$9,,-1)</f>
        <v>1.29</v>
      </c>
      <c r="G107">
        <f>_xlfn.XLOOKUP(insurance_policy_data!L219,Sheet2!$Q$3:$Q$4,Sheet2!$R$3:$R$4)</f>
        <v>0.75</v>
      </c>
      <c r="H107">
        <f>_xlfn.XLOOKUP(insurance_policy_data!N219,Sheet2!$T$3:$T$5,Sheet2!$U$3:$U$5,,-1)</f>
        <v>1</v>
      </c>
      <c r="I107">
        <f t="shared" si="1"/>
        <v>277.87025700000004</v>
      </c>
    </row>
    <row r="108" spans="2:9" x14ac:dyDescent="0.3">
      <c r="B108">
        <f>_xlfn.XLOOKUP(insurance_policy_data!B300,Sheet2!$B$3:$B$8,Sheet2!$C$3:$C$8,,-1)</f>
        <v>1.34</v>
      </c>
      <c r="C108">
        <f>_xlfn.XLOOKUP(insurance_policy_data!I300,Sheet2!$E$3:$E$7,Sheet2!$F$3:$F$7,,-1)</f>
        <v>1.3</v>
      </c>
      <c r="D108">
        <f>_xlfn.XLOOKUP(insurance_policy_data!P300,Sheet2!$H$3:$H$5,Sheet2!$I$3:$I$5,,-1)</f>
        <v>1.45</v>
      </c>
      <c r="E108">
        <f>_xlfn.XLOOKUP(insurance_policy_data!M300,Sheet2!$K$3:$K$7,Sheet2!$L$3:$L$7,,-1)</f>
        <v>1.26</v>
      </c>
      <c r="F108">
        <f>_xlfn.XLOOKUP(insurance_policy_data!H300,Sheet2!$N$3:$N$9,Sheet2!$O$3:$O$9,,-1)</f>
        <v>1.33</v>
      </c>
      <c r="G108">
        <f>_xlfn.XLOOKUP(insurance_policy_data!L300,Sheet2!$Q$3:$Q$4,Sheet2!$R$3:$R$4)</f>
        <v>0.75</v>
      </c>
      <c r="H108">
        <f>_xlfn.XLOOKUP(insurance_policy_data!N300,Sheet2!$T$3:$T$5,Sheet2!$U$3:$U$5,,-1)</f>
        <v>1.1000000000000001</v>
      </c>
      <c r="I108">
        <f t="shared" si="1"/>
        <v>279.37161252000004</v>
      </c>
    </row>
    <row r="109" spans="2:9" x14ac:dyDescent="0.3">
      <c r="B109">
        <f>_xlfn.XLOOKUP(insurance_policy_data!B9,Sheet2!$B$3:$B$8,Sheet2!$C$3:$C$8,,-1)</f>
        <v>1.21</v>
      </c>
      <c r="C109">
        <f>_xlfn.XLOOKUP(insurance_policy_data!I9,Sheet2!$E$3:$E$7,Sheet2!$F$3:$F$7,,-1)</f>
        <v>1.25</v>
      </c>
      <c r="D109">
        <f>_xlfn.XLOOKUP(insurance_policy_data!P9,Sheet2!$H$3:$H$5,Sheet2!$I$3:$I$5,,-1)</f>
        <v>1</v>
      </c>
      <c r="E109">
        <f>_xlfn.XLOOKUP(insurance_policy_data!M9,Sheet2!$K$3:$K$7,Sheet2!$L$3:$L$7,,-1)</f>
        <v>1.4</v>
      </c>
      <c r="F109">
        <f>_xlfn.XLOOKUP(insurance_policy_data!H9,Sheet2!$N$3:$N$9,Sheet2!$O$3:$O$9,,-1)</f>
        <v>1.1000000000000001</v>
      </c>
      <c r="G109">
        <f>_xlfn.XLOOKUP(insurance_policy_data!L9,Sheet2!$Q$3:$Q$4,Sheet2!$R$3:$R$4)</f>
        <v>1.5</v>
      </c>
      <c r="H109">
        <f>_xlfn.XLOOKUP(insurance_policy_data!N9,Sheet2!$T$3:$T$5,Sheet2!$U$3:$U$5,,-1)</f>
        <v>1</v>
      </c>
      <c r="I109">
        <f t="shared" si="1"/>
        <v>279.51</v>
      </c>
    </row>
    <row r="110" spans="2:9" x14ac:dyDescent="0.3">
      <c r="B110">
        <f>_xlfn.XLOOKUP(insurance_policy_data!B314,Sheet2!$B$3:$B$8,Sheet2!$C$3:$C$8,,-1)</f>
        <v>1.34</v>
      </c>
      <c r="C110">
        <f>_xlfn.XLOOKUP(insurance_policy_data!I314,Sheet2!$E$3:$E$7,Sheet2!$F$3:$F$7,,-1)</f>
        <v>1.3</v>
      </c>
      <c r="D110">
        <f>_xlfn.XLOOKUP(insurance_policy_data!P314,Sheet2!$H$3:$H$5,Sheet2!$I$3:$I$5,,-1)</f>
        <v>1.45</v>
      </c>
      <c r="E110">
        <f>_xlfn.XLOOKUP(insurance_policy_data!M314,Sheet2!$K$3:$K$7,Sheet2!$L$3:$L$7,,-1)</f>
        <v>1.3</v>
      </c>
      <c r="F110">
        <f>_xlfn.XLOOKUP(insurance_policy_data!H314,Sheet2!$N$3:$N$9,Sheet2!$O$3:$O$9,,-1)</f>
        <v>1.29</v>
      </c>
      <c r="G110">
        <f>_xlfn.XLOOKUP(insurance_policy_data!L314,Sheet2!$Q$3:$Q$4,Sheet2!$R$3:$R$4)</f>
        <v>0.75</v>
      </c>
      <c r="H110">
        <f>_xlfn.XLOOKUP(insurance_policy_data!N314,Sheet2!$T$3:$T$5,Sheet2!$U$3:$U$5,,-1)</f>
        <v>1.1000000000000001</v>
      </c>
      <c r="I110">
        <f t="shared" si="1"/>
        <v>279.57166380000001</v>
      </c>
    </row>
    <row r="111" spans="2:9" x14ac:dyDescent="0.3">
      <c r="B111">
        <f>_xlfn.XLOOKUP(insurance_policy_data!B58,Sheet2!$B$3:$B$8,Sheet2!$C$3:$C$8,,-1)</f>
        <v>1.34</v>
      </c>
      <c r="C111">
        <f>_xlfn.XLOOKUP(insurance_policy_data!I58,Sheet2!$E$3:$E$7,Sheet2!$F$3:$F$7,,-1)</f>
        <v>1.3</v>
      </c>
      <c r="D111">
        <f>_xlfn.XLOOKUP(insurance_policy_data!P58,Sheet2!$H$3:$H$5,Sheet2!$I$3:$I$5,,-1)</f>
        <v>1.45</v>
      </c>
      <c r="E111">
        <f>_xlfn.XLOOKUP(insurance_policy_data!M58,Sheet2!$K$3:$K$7,Sheet2!$L$3:$L$7,,-1)</f>
        <v>1.4</v>
      </c>
      <c r="F111">
        <f>_xlfn.XLOOKUP(insurance_policy_data!H58,Sheet2!$N$3:$N$9,Sheet2!$O$3:$O$9,,-1)</f>
        <v>1.2</v>
      </c>
      <c r="G111">
        <f>_xlfn.XLOOKUP(insurance_policy_data!L58,Sheet2!$Q$3:$Q$4,Sheet2!$R$3:$R$4)</f>
        <v>0.75</v>
      </c>
      <c r="H111">
        <f>_xlfn.XLOOKUP(insurance_policy_data!N58,Sheet2!$T$3:$T$5,Sheet2!$U$3:$U$5,,-1)</f>
        <v>1.1000000000000001</v>
      </c>
      <c r="I111">
        <f t="shared" si="1"/>
        <v>280.07179200000002</v>
      </c>
    </row>
    <row r="112" spans="2:9" x14ac:dyDescent="0.3">
      <c r="B112">
        <f>_xlfn.XLOOKUP(insurance_policy_data!B43,Sheet2!$B$3:$B$8,Sheet2!$C$3:$C$8,,-1)</f>
        <v>1.34</v>
      </c>
      <c r="C112">
        <f>_xlfn.XLOOKUP(insurance_policy_data!I43,Sheet2!$E$3:$E$7,Sheet2!$F$3:$F$7,,-1)</f>
        <v>1.31</v>
      </c>
      <c r="D112">
        <f>_xlfn.XLOOKUP(insurance_policy_data!P43,Sheet2!$H$3:$H$5,Sheet2!$I$3:$I$5,,-1)</f>
        <v>1.45</v>
      </c>
      <c r="E112">
        <f>_xlfn.XLOOKUP(insurance_policy_data!M43,Sheet2!$K$3:$K$7,Sheet2!$L$3:$L$7,,-1)</f>
        <v>1.3</v>
      </c>
      <c r="F112">
        <f>_xlfn.XLOOKUP(insurance_policy_data!H43,Sheet2!$N$3:$N$9,Sheet2!$O$3:$O$9,,-1)</f>
        <v>1.29</v>
      </c>
      <c r="G112">
        <f>_xlfn.XLOOKUP(insurance_policy_data!L43,Sheet2!$Q$3:$Q$4,Sheet2!$R$3:$R$4)</f>
        <v>0.75</v>
      </c>
      <c r="H112">
        <f>_xlfn.XLOOKUP(insurance_policy_data!N43,Sheet2!$T$3:$T$5,Sheet2!$U$3:$U$5,,-1)</f>
        <v>1.1000000000000001</v>
      </c>
      <c r="I112">
        <f t="shared" si="1"/>
        <v>281.72221506000005</v>
      </c>
    </row>
    <row r="113" spans="2:9" x14ac:dyDescent="0.3">
      <c r="B113">
        <f>_xlfn.XLOOKUP(insurance_policy_data!B202,Sheet2!$B$3:$B$8,Sheet2!$C$3:$C$8,,-1)</f>
        <v>1.34</v>
      </c>
      <c r="C113">
        <f>_xlfn.XLOOKUP(insurance_policy_data!I202,Sheet2!$E$3:$E$7,Sheet2!$F$3:$F$7,,-1)</f>
        <v>1.3</v>
      </c>
      <c r="D113">
        <f>_xlfn.XLOOKUP(insurance_policy_data!P202,Sheet2!$H$3:$H$5,Sheet2!$I$3:$I$5,,-1)</f>
        <v>1.45</v>
      </c>
      <c r="E113">
        <f>_xlfn.XLOOKUP(insurance_policy_data!M202,Sheet2!$K$3:$K$7,Sheet2!$L$3:$L$7,,-1)</f>
        <v>1.4</v>
      </c>
      <c r="F113">
        <f>_xlfn.XLOOKUP(insurance_policy_data!H202,Sheet2!$N$3:$N$9,Sheet2!$O$3:$O$9,,-1)</f>
        <v>1.33</v>
      </c>
      <c r="G113">
        <f>_xlfn.XLOOKUP(insurance_policy_data!L202,Sheet2!$Q$3:$Q$4,Sheet2!$R$3:$R$4)</f>
        <v>0.75</v>
      </c>
      <c r="H113">
        <f>_xlfn.XLOOKUP(insurance_policy_data!N202,Sheet2!$T$3:$T$5,Sheet2!$U$3:$U$5,,-1)</f>
        <v>1</v>
      </c>
      <c r="I113">
        <f t="shared" si="1"/>
        <v>282.19354800000002</v>
      </c>
    </row>
    <row r="114" spans="2:9" x14ac:dyDescent="0.3">
      <c r="B114">
        <f>_xlfn.XLOOKUP(insurance_policy_data!B187,Sheet2!$B$3:$B$8,Sheet2!$C$3:$C$8,,-1)</f>
        <v>1.25</v>
      </c>
      <c r="C114">
        <f>_xlfn.XLOOKUP(insurance_policy_data!I187,Sheet2!$E$3:$E$7,Sheet2!$F$3:$F$7,,-1)</f>
        <v>1.25</v>
      </c>
      <c r="D114">
        <f>_xlfn.XLOOKUP(insurance_policy_data!P187,Sheet2!$H$3:$H$5,Sheet2!$I$3:$I$5,,-1)</f>
        <v>1.45</v>
      </c>
      <c r="E114">
        <f>_xlfn.XLOOKUP(insurance_policy_data!M187,Sheet2!$K$3:$K$7,Sheet2!$L$3:$L$7,,-1)</f>
        <v>1.39</v>
      </c>
      <c r="F114">
        <f>_xlfn.XLOOKUP(insurance_policy_data!H187,Sheet2!$N$3:$N$9,Sheet2!$O$3:$O$9,,-1)</f>
        <v>1.36</v>
      </c>
      <c r="G114">
        <f>_xlfn.XLOOKUP(insurance_policy_data!L187,Sheet2!$Q$3:$Q$4,Sheet2!$R$3:$R$4)</f>
        <v>0.75</v>
      </c>
      <c r="H114">
        <f>_xlfn.XLOOKUP(insurance_policy_data!N187,Sheet2!$T$3:$T$5,Sheet2!$U$3:$U$5,,-1)</f>
        <v>1.1000000000000001</v>
      </c>
      <c r="I114">
        <f t="shared" si="1"/>
        <v>282.67387500000007</v>
      </c>
    </row>
    <row r="115" spans="2:9" x14ac:dyDescent="0.3">
      <c r="B115">
        <f>_xlfn.XLOOKUP(insurance_policy_data!B150,Sheet2!$B$3:$B$8,Sheet2!$C$3:$C$8,,-1)</f>
        <v>1.34</v>
      </c>
      <c r="C115">
        <f>_xlfn.XLOOKUP(insurance_policy_data!I150,Sheet2!$E$3:$E$7,Sheet2!$F$3:$F$7,,-1)</f>
        <v>1.31</v>
      </c>
      <c r="D115">
        <f>_xlfn.XLOOKUP(insurance_policy_data!P150,Sheet2!$H$3:$H$5,Sheet2!$I$3:$I$5,,-1)</f>
        <v>1.45</v>
      </c>
      <c r="E115">
        <f>_xlfn.XLOOKUP(insurance_policy_data!M150,Sheet2!$K$3:$K$7,Sheet2!$L$3:$L$7,,-1)</f>
        <v>1.4</v>
      </c>
      <c r="F115">
        <f>_xlfn.XLOOKUP(insurance_policy_data!H150,Sheet2!$N$3:$N$9,Sheet2!$O$3:$O$9,,-1)</f>
        <v>1.33</v>
      </c>
      <c r="G115">
        <f>_xlfn.XLOOKUP(insurance_policy_data!L150,Sheet2!$Q$3:$Q$4,Sheet2!$R$3:$R$4)</f>
        <v>0.75</v>
      </c>
      <c r="H115">
        <f>_xlfn.XLOOKUP(insurance_policy_data!N150,Sheet2!$T$3:$T$5,Sheet2!$U$3:$U$5,,-1)</f>
        <v>1</v>
      </c>
      <c r="I115">
        <f t="shared" si="1"/>
        <v>284.36426759999995</v>
      </c>
    </row>
    <row r="116" spans="2:9" x14ac:dyDescent="0.3">
      <c r="B116">
        <f>_xlfn.XLOOKUP(insurance_policy_data!B298,Sheet2!$B$3:$B$8,Sheet2!$C$3:$C$8,,-1)</f>
        <v>1.21</v>
      </c>
      <c r="C116">
        <f>_xlfn.XLOOKUP(insurance_policy_data!I298,Sheet2!$E$3:$E$7,Sheet2!$F$3:$F$7,,-1)</f>
        <v>1.25</v>
      </c>
      <c r="D116">
        <f>_xlfn.XLOOKUP(insurance_policy_data!P298,Sheet2!$H$3:$H$5,Sheet2!$I$3:$I$5,,-1)</f>
        <v>1</v>
      </c>
      <c r="E116">
        <f>_xlfn.XLOOKUP(insurance_policy_data!M298,Sheet2!$K$3:$K$7,Sheet2!$L$3:$L$7,,-1)</f>
        <v>1.26</v>
      </c>
      <c r="F116">
        <f>_xlfn.XLOOKUP(insurance_policy_data!H298,Sheet2!$N$3:$N$9,Sheet2!$O$3:$O$9,,-1)</f>
        <v>1.25</v>
      </c>
      <c r="G116">
        <f>_xlfn.XLOOKUP(insurance_policy_data!L298,Sheet2!$Q$3:$Q$4,Sheet2!$R$3:$R$4)</f>
        <v>1.5</v>
      </c>
      <c r="H116">
        <f>_xlfn.XLOOKUP(insurance_policy_data!N298,Sheet2!$T$3:$T$5,Sheet2!$U$3:$U$5,,-1)</f>
        <v>1</v>
      </c>
      <c r="I116">
        <f t="shared" si="1"/>
        <v>285.86250000000001</v>
      </c>
    </row>
    <row r="117" spans="2:9" x14ac:dyDescent="0.3">
      <c r="B117">
        <f>_xlfn.XLOOKUP(insurance_policy_data!B73,Sheet2!$B$3:$B$8,Sheet2!$C$3:$C$8,,-1)</f>
        <v>1.34</v>
      </c>
      <c r="C117">
        <f>_xlfn.XLOOKUP(insurance_policy_data!I73,Sheet2!$E$3:$E$7,Sheet2!$F$3:$F$7,,-1)</f>
        <v>1.3</v>
      </c>
      <c r="D117">
        <f>_xlfn.XLOOKUP(insurance_policy_data!P73,Sheet2!$H$3:$H$5,Sheet2!$I$3:$I$5,,-1)</f>
        <v>1.45</v>
      </c>
      <c r="E117">
        <f>_xlfn.XLOOKUP(insurance_policy_data!M73,Sheet2!$K$3:$K$7,Sheet2!$L$3:$L$7,,-1)</f>
        <v>1.39</v>
      </c>
      <c r="F117">
        <f>_xlfn.XLOOKUP(insurance_policy_data!H73,Sheet2!$N$3:$N$9,Sheet2!$O$3:$O$9,,-1)</f>
        <v>1.36</v>
      </c>
      <c r="G117">
        <f>_xlfn.XLOOKUP(insurance_policy_data!L73,Sheet2!$Q$3:$Q$4,Sheet2!$R$3:$R$4)</f>
        <v>0.75</v>
      </c>
      <c r="H117">
        <f>_xlfn.XLOOKUP(insurance_policy_data!N73,Sheet2!$T$3:$T$5,Sheet2!$U$3:$U$5,,-1)</f>
        <v>1</v>
      </c>
      <c r="I117">
        <f t="shared" si="1"/>
        <v>286.49768160000002</v>
      </c>
    </row>
    <row r="118" spans="2:9" x14ac:dyDescent="0.3">
      <c r="B118">
        <f>_xlfn.XLOOKUP(insurance_policy_data!B205,Sheet2!$B$3:$B$8,Sheet2!$C$3:$C$8,,-1)</f>
        <v>1.34</v>
      </c>
      <c r="C118">
        <f>_xlfn.XLOOKUP(insurance_policy_data!I205,Sheet2!$E$3:$E$7,Sheet2!$F$3:$F$7,,-1)</f>
        <v>1.31</v>
      </c>
      <c r="D118">
        <f>_xlfn.XLOOKUP(insurance_policy_data!P205,Sheet2!$H$3:$H$5,Sheet2!$I$3:$I$5,,-1)</f>
        <v>1</v>
      </c>
      <c r="E118">
        <f>_xlfn.XLOOKUP(insurance_policy_data!M205,Sheet2!$K$3:$K$7,Sheet2!$L$3:$L$7,,-1)</f>
        <v>1.26</v>
      </c>
      <c r="F118">
        <f>_xlfn.XLOOKUP(insurance_policy_data!H205,Sheet2!$N$3:$N$9,Sheet2!$O$3:$O$9,,-1)</f>
        <v>1.1000000000000001</v>
      </c>
      <c r="G118">
        <f>_xlfn.XLOOKUP(insurance_policy_data!L205,Sheet2!$Q$3:$Q$4,Sheet2!$R$3:$R$4)</f>
        <v>1.5</v>
      </c>
      <c r="H118">
        <f>_xlfn.XLOOKUP(insurance_policy_data!N205,Sheet2!$T$3:$T$5,Sheet2!$U$3:$U$5,,-1)</f>
        <v>1</v>
      </c>
      <c r="I118">
        <f t="shared" si="1"/>
        <v>291.95812800000004</v>
      </c>
    </row>
    <row r="119" spans="2:9" x14ac:dyDescent="0.3">
      <c r="B119">
        <f>_xlfn.XLOOKUP(insurance_policy_data!B126,Sheet2!$B$3:$B$8,Sheet2!$C$3:$C$8,,-1)</f>
        <v>1.25</v>
      </c>
      <c r="C119">
        <f>_xlfn.XLOOKUP(insurance_policy_data!I126,Sheet2!$E$3:$E$7,Sheet2!$F$3:$F$7,,-1)</f>
        <v>1.3</v>
      </c>
      <c r="D119">
        <f>_xlfn.XLOOKUP(insurance_policy_data!P126,Sheet2!$H$3:$H$5,Sheet2!$I$3:$I$5,,-1)</f>
        <v>1.45</v>
      </c>
      <c r="E119">
        <f>_xlfn.XLOOKUP(insurance_policy_data!M126,Sheet2!$K$3:$K$7,Sheet2!$L$3:$L$7,,-1)</f>
        <v>1.3</v>
      </c>
      <c r="F119">
        <f>_xlfn.XLOOKUP(insurance_policy_data!H126,Sheet2!$N$3:$N$9,Sheet2!$O$3:$O$9,,-1)</f>
        <v>1.33</v>
      </c>
      <c r="G119">
        <f>_xlfn.XLOOKUP(insurance_policy_data!L126,Sheet2!$Q$3:$Q$4,Sheet2!$R$3:$R$4)</f>
        <v>0.75</v>
      </c>
      <c r="H119">
        <f>_xlfn.XLOOKUP(insurance_policy_data!N126,Sheet2!$T$3:$T$5,Sheet2!$U$3:$U$5,,-1)</f>
        <v>1.2</v>
      </c>
      <c r="I119">
        <f t="shared" si="1"/>
        <v>293.32484999999997</v>
      </c>
    </row>
    <row r="120" spans="2:9" x14ac:dyDescent="0.3">
      <c r="B120">
        <f>_xlfn.XLOOKUP(insurance_policy_data!B207,Sheet2!$B$3:$B$8,Sheet2!$C$3:$C$8,,-1)</f>
        <v>1.35</v>
      </c>
      <c r="C120">
        <f>_xlfn.XLOOKUP(insurance_policy_data!I207,Sheet2!$E$3:$E$7,Sheet2!$F$3:$F$7,,-1)</f>
        <v>1.31</v>
      </c>
      <c r="D120">
        <f>_xlfn.XLOOKUP(insurance_policy_data!P207,Sheet2!$H$3:$H$5,Sheet2!$I$3:$I$5,,-1)</f>
        <v>1.45</v>
      </c>
      <c r="E120">
        <f>_xlfn.XLOOKUP(insurance_policy_data!M207,Sheet2!$K$3:$K$7,Sheet2!$L$3:$L$7,,-1)</f>
        <v>1.39</v>
      </c>
      <c r="F120">
        <f>_xlfn.XLOOKUP(insurance_policy_data!H207,Sheet2!$N$3:$N$9,Sheet2!$O$3:$O$9,,-1)</f>
        <v>1.25</v>
      </c>
      <c r="G120">
        <f>_xlfn.XLOOKUP(insurance_policy_data!L207,Sheet2!$Q$3:$Q$4,Sheet2!$R$3:$R$4)</f>
        <v>0.75</v>
      </c>
      <c r="H120">
        <f>_xlfn.XLOOKUP(insurance_policy_data!N207,Sheet2!$T$3:$T$5,Sheet2!$U$3:$U$5,,-1)</f>
        <v>1.1000000000000001</v>
      </c>
      <c r="I120">
        <f t="shared" si="1"/>
        <v>294.06396937500006</v>
      </c>
    </row>
    <row r="121" spans="2:9" x14ac:dyDescent="0.3">
      <c r="B121">
        <f>_xlfn.XLOOKUP(insurance_policy_data!B145,Sheet2!$B$3:$B$8,Sheet2!$C$3:$C$8,,-1)</f>
        <v>1.25</v>
      </c>
      <c r="C121">
        <f>_xlfn.XLOOKUP(insurance_policy_data!I145,Sheet2!$E$3:$E$7,Sheet2!$F$3:$F$7,,-1)</f>
        <v>1.3</v>
      </c>
      <c r="D121">
        <f>_xlfn.XLOOKUP(insurance_policy_data!P145,Sheet2!$H$3:$H$5,Sheet2!$I$3:$I$5,,-1)</f>
        <v>1</v>
      </c>
      <c r="E121">
        <f>_xlfn.XLOOKUP(insurance_policy_data!M145,Sheet2!$K$3:$K$7,Sheet2!$L$3:$L$7,,-1)</f>
        <v>1.39</v>
      </c>
      <c r="F121">
        <f>_xlfn.XLOOKUP(insurance_policy_data!H145,Sheet2!$N$3:$N$9,Sheet2!$O$3:$O$9,,-1)</f>
        <v>1.1000000000000001</v>
      </c>
      <c r="G121">
        <f>_xlfn.XLOOKUP(insurance_policy_data!L145,Sheet2!$Q$3:$Q$4,Sheet2!$R$3:$R$4)</f>
        <v>1.5</v>
      </c>
      <c r="H121">
        <f>_xlfn.XLOOKUP(insurance_policy_data!N145,Sheet2!$T$3:$T$5,Sheet2!$U$3:$U$5,,-1)</f>
        <v>1</v>
      </c>
      <c r="I121">
        <f t="shared" si="1"/>
        <v>298.15500000000003</v>
      </c>
    </row>
    <row r="122" spans="2:9" x14ac:dyDescent="0.3">
      <c r="B122">
        <f>_xlfn.XLOOKUP(insurance_policy_data!B38,Sheet2!$B$3:$B$8,Sheet2!$C$3:$C$8,,-1)</f>
        <v>1.27</v>
      </c>
      <c r="C122">
        <f>_xlfn.XLOOKUP(insurance_policy_data!I38,Sheet2!$E$3:$E$7,Sheet2!$F$3:$F$7,,-1)</f>
        <v>1.25</v>
      </c>
      <c r="D122">
        <f>_xlfn.XLOOKUP(insurance_policy_data!P38,Sheet2!$H$3:$H$5,Sheet2!$I$3:$I$5,,-1)</f>
        <v>1</v>
      </c>
      <c r="E122">
        <f>_xlfn.XLOOKUP(insurance_policy_data!M38,Sheet2!$K$3:$K$7,Sheet2!$L$3:$L$7,,-1)</f>
        <v>1.3</v>
      </c>
      <c r="F122">
        <f>_xlfn.XLOOKUP(insurance_policy_data!H38,Sheet2!$N$3:$N$9,Sheet2!$O$3:$O$9,,-1)</f>
        <v>1.1000000000000001</v>
      </c>
      <c r="G122">
        <f>_xlfn.XLOOKUP(insurance_policy_data!L38,Sheet2!$Q$3:$Q$4,Sheet2!$R$3:$R$4)</f>
        <v>1.5</v>
      </c>
      <c r="H122">
        <f>_xlfn.XLOOKUP(insurance_policy_data!N38,Sheet2!$T$3:$T$5,Sheet2!$U$3:$U$5,,-1)</f>
        <v>1.1000000000000001</v>
      </c>
      <c r="I122">
        <f t="shared" si="1"/>
        <v>299.65649999999994</v>
      </c>
    </row>
    <row r="123" spans="2:9" x14ac:dyDescent="0.3">
      <c r="B123">
        <f>_xlfn.XLOOKUP(insurance_policy_data!B157,Sheet2!$B$3:$B$8,Sheet2!$C$3:$C$8,,-1)</f>
        <v>1.27</v>
      </c>
      <c r="C123">
        <f>_xlfn.XLOOKUP(insurance_policy_data!I157,Sheet2!$E$3:$E$7,Sheet2!$F$3:$F$7,,-1)</f>
        <v>1.25</v>
      </c>
      <c r="D123">
        <f>_xlfn.XLOOKUP(insurance_policy_data!P157,Sheet2!$H$3:$H$5,Sheet2!$I$3:$I$5,,-1)</f>
        <v>1</v>
      </c>
      <c r="E123">
        <f>_xlfn.XLOOKUP(insurance_policy_data!M157,Sheet2!$K$3:$K$7,Sheet2!$L$3:$L$7,,-1)</f>
        <v>1.26</v>
      </c>
      <c r="F123">
        <f>_xlfn.XLOOKUP(insurance_policy_data!H157,Sheet2!$N$3:$N$9,Sheet2!$O$3:$O$9,,-1)</f>
        <v>1.25</v>
      </c>
      <c r="G123">
        <f>_xlfn.XLOOKUP(insurance_policy_data!L157,Sheet2!$Q$3:$Q$4,Sheet2!$R$3:$R$4)</f>
        <v>1.5</v>
      </c>
      <c r="H123">
        <f>_xlfn.XLOOKUP(insurance_policy_data!N157,Sheet2!$T$3:$T$5,Sheet2!$U$3:$U$5,,-1)</f>
        <v>1</v>
      </c>
      <c r="I123">
        <f t="shared" si="1"/>
        <v>300.03749999999997</v>
      </c>
    </row>
    <row r="124" spans="2:9" x14ac:dyDescent="0.3">
      <c r="B124">
        <f>_xlfn.XLOOKUP(insurance_policy_data!B271,Sheet2!$B$3:$B$8,Sheet2!$C$3:$C$8,,-1)</f>
        <v>1.21</v>
      </c>
      <c r="C124">
        <f>_xlfn.XLOOKUP(insurance_policy_data!I271,Sheet2!$E$3:$E$7,Sheet2!$F$3:$F$7,,-1)</f>
        <v>1.25</v>
      </c>
      <c r="D124">
        <f>_xlfn.XLOOKUP(insurance_policy_data!P271,Sheet2!$H$3:$H$5,Sheet2!$I$3:$I$5,,-1)</f>
        <v>1</v>
      </c>
      <c r="E124">
        <f>_xlfn.XLOOKUP(insurance_policy_data!M271,Sheet2!$K$3:$K$7,Sheet2!$L$3:$L$7,,-1)</f>
        <v>1.39</v>
      </c>
      <c r="F124">
        <f>_xlfn.XLOOKUP(insurance_policy_data!H271,Sheet2!$N$3:$N$9,Sheet2!$O$3:$O$9,,-1)</f>
        <v>1.2</v>
      </c>
      <c r="G124">
        <f>_xlfn.XLOOKUP(insurance_policy_data!L271,Sheet2!$Q$3:$Q$4,Sheet2!$R$3:$R$4)</f>
        <v>1.5</v>
      </c>
      <c r="H124">
        <f>_xlfn.XLOOKUP(insurance_policy_data!N271,Sheet2!$T$3:$T$5,Sheet2!$U$3:$U$5,,-1)</f>
        <v>1</v>
      </c>
      <c r="I124">
        <f t="shared" si="1"/>
        <v>302.74199999999996</v>
      </c>
    </row>
    <row r="125" spans="2:9" x14ac:dyDescent="0.3">
      <c r="B125">
        <f>_xlfn.XLOOKUP(insurance_policy_data!B69,Sheet2!$B$3:$B$8,Sheet2!$C$3:$C$8,,-1)</f>
        <v>1.25</v>
      </c>
      <c r="C125">
        <f>_xlfn.XLOOKUP(insurance_policy_data!I69,Sheet2!$E$3:$E$7,Sheet2!$F$3:$F$7,,-1)</f>
        <v>1.3</v>
      </c>
      <c r="D125">
        <f>_xlfn.XLOOKUP(insurance_policy_data!P69,Sheet2!$H$3:$H$5,Sheet2!$I$3:$I$5,,-1)</f>
        <v>1.45</v>
      </c>
      <c r="E125">
        <f>_xlfn.XLOOKUP(insurance_policy_data!M69,Sheet2!$K$3:$K$7,Sheet2!$L$3:$L$7,,-1)</f>
        <v>1.4</v>
      </c>
      <c r="F125">
        <f>_xlfn.XLOOKUP(insurance_policy_data!H69,Sheet2!$N$3:$N$9,Sheet2!$O$3:$O$9,,-1)</f>
        <v>1.29</v>
      </c>
      <c r="G125">
        <f>_xlfn.XLOOKUP(insurance_policy_data!L69,Sheet2!$Q$3:$Q$4,Sheet2!$R$3:$R$4)</f>
        <v>0.75</v>
      </c>
      <c r="H125">
        <f>_xlfn.XLOOKUP(insurance_policy_data!N69,Sheet2!$T$3:$T$5,Sheet2!$U$3:$U$5,,-1)</f>
        <v>1.2</v>
      </c>
      <c r="I125">
        <f t="shared" si="1"/>
        <v>306.38789999999995</v>
      </c>
    </row>
    <row r="126" spans="2:9" x14ac:dyDescent="0.3">
      <c r="B126">
        <f>_xlfn.XLOOKUP(insurance_policy_data!B36,Sheet2!$B$3:$B$8,Sheet2!$C$3:$C$8,,-1)</f>
        <v>1.21</v>
      </c>
      <c r="C126">
        <f>_xlfn.XLOOKUP(insurance_policy_data!I36,Sheet2!$E$3:$E$7,Sheet2!$F$3:$F$7,,-1)</f>
        <v>1.25</v>
      </c>
      <c r="D126">
        <f>_xlfn.XLOOKUP(insurance_policy_data!P36,Sheet2!$H$3:$H$5,Sheet2!$I$3:$I$5,,-1)</f>
        <v>1</v>
      </c>
      <c r="E126">
        <f>_xlfn.XLOOKUP(insurance_policy_data!M36,Sheet2!$K$3:$K$7,Sheet2!$L$3:$L$7,,-1)</f>
        <v>1.4</v>
      </c>
      <c r="F126">
        <f>_xlfn.XLOOKUP(insurance_policy_data!H36,Sheet2!$N$3:$N$9,Sheet2!$O$3:$O$9,,-1)</f>
        <v>1.1000000000000001</v>
      </c>
      <c r="G126">
        <f>_xlfn.XLOOKUP(insurance_policy_data!L36,Sheet2!$Q$3:$Q$4,Sheet2!$R$3:$R$4)</f>
        <v>1.5</v>
      </c>
      <c r="H126">
        <f>_xlfn.XLOOKUP(insurance_policy_data!N36,Sheet2!$T$3:$T$5,Sheet2!$U$3:$U$5,,-1)</f>
        <v>1.1000000000000001</v>
      </c>
      <c r="I126">
        <f t="shared" si="1"/>
        <v>307.46100000000001</v>
      </c>
    </row>
    <row r="127" spans="2:9" x14ac:dyDescent="0.3">
      <c r="B127">
        <f>_xlfn.XLOOKUP(insurance_policy_data!B161,Sheet2!$B$3:$B$8,Sheet2!$C$3:$C$8,,-1)</f>
        <v>1.21</v>
      </c>
      <c r="C127">
        <f>_xlfn.XLOOKUP(insurance_policy_data!I161,Sheet2!$E$3:$E$7,Sheet2!$F$3:$F$7,,-1)</f>
        <v>1.25</v>
      </c>
      <c r="D127">
        <f>_xlfn.XLOOKUP(insurance_policy_data!P161,Sheet2!$H$3:$H$5,Sheet2!$I$3:$I$5,,-1)</f>
        <v>1</v>
      </c>
      <c r="E127">
        <f>_xlfn.XLOOKUP(insurance_policy_data!M161,Sheet2!$K$3:$K$7,Sheet2!$L$3:$L$7,,-1)</f>
        <v>1.4</v>
      </c>
      <c r="F127">
        <f>_xlfn.XLOOKUP(insurance_policy_data!H161,Sheet2!$N$3:$N$9,Sheet2!$O$3:$O$9,,-1)</f>
        <v>1.1000000000000001</v>
      </c>
      <c r="G127">
        <f>_xlfn.XLOOKUP(insurance_policy_data!L161,Sheet2!$Q$3:$Q$4,Sheet2!$R$3:$R$4)</f>
        <v>1.5</v>
      </c>
      <c r="H127">
        <f>_xlfn.XLOOKUP(insurance_policy_data!N161,Sheet2!$T$3:$T$5,Sheet2!$U$3:$U$5,,-1)</f>
        <v>1.1000000000000001</v>
      </c>
      <c r="I127">
        <f t="shared" si="1"/>
        <v>307.46100000000001</v>
      </c>
    </row>
    <row r="128" spans="2:9" x14ac:dyDescent="0.3">
      <c r="B128">
        <f>_xlfn.XLOOKUP(insurance_policy_data!B67,Sheet2!$B$3:$B$8,Sheet2!$C$3:$C$8,,-1)</f>
        <v>1.34</v>
      </c>
      <c r="C128">
        <f>_xlfn.XLOOKUP(insurance_policy_data!I67,Sheet2!$E$3:$E$7,Sheet2!$F$3:$F$7,,-1)</f>
        <v>1.3</v>
      </c>
      <c r="D128">
        <f>_xlfn.XLOOKUP(insurance_policy_data!P67,Sheet2!$H$3:$H$5,Sheet2!$I$3:$I$5,,-1)</f>
        <v>1.45</v>
      </c>
      <c r="E128">
        <f>_xlfn.XLOOKUP(insurance_policy_data!M67,Sheet2!$K$3:$K$7,Sheet2!$L$3:$L$7,,-1)</f>
        <v>1.39</v>
      </c>
      <c r="F128">
        <f>_xlfn.XLOOKUP(insurance_policy_data!H67,Sheet2!$N$3:$N$9,Sheet2!$O$3:$O$9,,-1)</f>
        <v>1.33</v>
      </c>
      <c r="G128">
        <f>_xlfn.XLOOKUP(insurance_policy_data!L67,Sheet2!$Q$3:$Q$4,Sheet2!$R$3:$R$4)</f>
        <v>0.75</v>
      </c>
      <c r="H128">
        <f>_xlfn.XLOOKUP(insurance_policy_data!N67,Sheet2!$T$3:$T$5,Sheet2!$U$3:$U$5,,-1)</f>
        <v>1.1000000000000001</v>
      </c>
      <c r="I128">
        <f t="shared" si="1"/>
        <v>308.19566778000001</v>
      </c>
    </row>
    <row r="129" spans="2:9" x14ac:dyDescent="0.3">
      <c r="B129">
        <f>_xlfn.XLOOKUP(insurance_policy_data!B97,Sheet2!$B$3:$B$8,Sheet2!$C$3:$C$8,,-1)</f>
        <v>1.28</v>
      </c>
      <c r="C129">
        <f>_xlfn.XLOOKUP(insurance_policy_data!I97,Sheet2!$E$3:$E$7,Sheet2!$F$3:$F$7,,-1)</f>
        <v>1.25</v>
      </c>
      <c r="D129">
        <f>_xlfn.XLOOKUP(insurance_policy_data!P97,Sheet2!$H$3:$H$5,Sheet2!$I$3:$I$5,,-1)</f>
        <v>1</v>
      </c>
      <c r="E129">
        <f>_xlfn.XLOOKUP(insurance_policy_data!M97,Sheet2!$K$3:$K$7,Sheet2!$L$3:$L$7,,-1)</f>
        <v>1.26</v>
      </c>
      <c r="F129">
        <f>_xlfn.XLOOKUP(insurance_policy_data!H97,Sheet2!$N$3:$N$9,Sheet2!$O$3:$O$9,,-1)</f>
        <v>1.29</v>
      </c>
      <c r="G129">
        <f>_xlfn.XLOOKUP(insurance_policy_data!L97,Sheet2!$Q$3:$Q$4,Sheet2!$R$3:$R$4)</f>
        <v>1.5</v>
      </c>
      <c r="H129">
        <f>_xlfn.XLOOKUP(insurance_policy_data!N97,Sheet2!$T$3:$T$5,Sheet2!$U$3:$U$5,,-1)</f>
        <v>1</v>
      </c>
      <c r="I129">
        <f t="shared" si="1"/>
        <v>312.07680000000005</v>
      </c>
    </row>
    <row r="130" spans="2:9" x14ac:dyDescent="0.3">
      <c r="B130">
        <f>_xlfn.XLOOKUP(insurance_policy_data!B279,Sheet2!$B$3:$B$8,Sheet2!$C$3:$C$8,,-1)</f>
        <v>1.35</v>
      </c>
      <c r="C130">
        <f>_xlfn.XLOOKUP(insurance_policy_data!I279,Sheet2!$E$3:$E$7,Sheet2!$F$3:$F$7,,-1)</f>
        <v>1.31</v>
      </c>
      <c r="D130">
        <f>_xlfn.XLOOKUP(insurance_policy_data!P279,Sheet2!$H$3:$H$5,Sheet2!$I$3:$I$5,,-1)</f>
        <v>1.45</v>
      </c>
      <c r="E130">
        <f>_xlfn.XLOOKUP(insurance_policy_data!M279,Sheet2!$K$3:$K$7,Sheet2!$L$3:$L$7,,-1)</f>
        <v>1.4</v>
      </c>
      <c r="F130">
        <f>_xlfn.XLOOKUP(insurance_policy_data!H279,Sheet2!$N$3:$N$9,Sheet2!$O$3:$O$9,,-1)</f>
        <v>1.33</v>
      </c>
      <c r="G130">
        <f>_xlfn.XLOOKUP(insurance_policy_data!L279,Sheet2!$Q$3:$Q$4,Sheet2!$R$3:$R$4)</f>
        <v>0.75</v>
      </c>
      <c r="H130">
        <f>_xlfn.XLOOKUP(insurance_policy_data!N279,Sheet2!$T$3:$T$5,Sheet2!$U$3:$U$5,,-1)</f>
        <v>1.1000000000000001</v>
      </c>
      <c r="I130">
        <f t="shared" si="1"/>
        <v>315.13502790000007</v>
      </c>
    </row>
    <row r="131" spans="2:9" x14ac:dyDescent="0.3">
      <c r="B131">
        <f>_xlfn.XLOOKUP(insurance_policy_data!B5,Sheet2!$B$3:$B$8,Sheet2!$C$3:$C$8,,-1)</f>
        <v>1.34</v>
      </c>
      <c r="C131">
        <f>_xlfn.XLOOKUP(insurance_policy_data!I5,Sheet2!$E$3:$E$7,Sheet2!$F$3:$F$7,,-1)</f>
        <v>1.3</v>
      </c>
      <c r="D131">
        <f>_xlfn.XLOOKUP(insurance_policy_data!P5,Sheet2!$H$3:$H$5,Sheet2!$I$3:$I$5,,-1)</f>
        <v>1.45</v>
      </c>
      <c r="E131">
        <f>_xlfn.XLOOKUP(insurance_policy_data!M5,Sheet2!$K$3:$K$7,Sheet2!$L$3:$L$7,,-1)</f>
        <v>1.4</v>
      </c>
      <c r="F131">
        <f>_xlfn.XLOOKUP(insurance_policy_data!H5,Sheet2!$N$3:$N$9,Sheet2!$O$3:$O$9,,-1)</f>
        <v>1.36</v>
      </c>
      <c r="G131">
        <f>_xlfn.XLOOKUP(insurance_policy_data!L5,Sheet2!$Q$3:$Q$4,Sheet2!$R$3:$R$4)</f>
        <v>0.75</v>
      </c>
      <c r="H131">
        <f>_xlfn.XLOOKUP(insurance_policy_data!N5,Sheet2!$T$3:$T$5,Sheet2!$U$3:$U$5,,-1)</f>
        <v>1.1000000000000001</v>
      </c>
      <c r="I131">
        <f t="shared" ref="I131:I194" si="2">(B131*C131*D131*E131*F131*G131*H131)*80</f>
        <v>317.41469760000007</v>
      </c>
    </row>
    <row r="132" spans="2:9" x14ac:dyDescent="0.3">
      <c r="B132">
        <f>_xlfn.XLOOKUP(insurance_policy_data!B268,Sheet2!$B$3:$B$8,Sheet2!$C$3:$C$8,,-1)</f>
        <v>1.27</v>
      </c>
      <c r="C132">
        <f>_xlfn.XLOOKUP(insurance_policy_data!I268,Sheet2!$E$3:$E$7,Sheet2!$F$3:$F$7,,-1)</f>
        <v>1.25</v>
      </c>
      <c r="D132">
        <f>_xlfn.XLOOKUP(insurance_policy_data!P268,Sheet2!$H$3:$H$5,Sheet2!$I$3:$I$5,,-1)</f>
        <v>1</v>
      </c>
      <c r="E132">
        <f>_xlfn.XLOOKUP(insurance_policy_data!M268,Sheet2!$K$3:$K$7,Sheet2!$L$3:$L$7,,-1)</f>
        <v>1.3</v>
      </c>
      <c r="F132">
        <f>_xlfn.XLOOKUP(insurance_policy_data!H268,Sheet2!$N$3:$N$9,Sheet2!$O$3:$O$9,,-1)</f>
        <v>1.29</v>
      </c>
      <c r="G132">
        <f>_xlfn.XLOOKUP(insurance_policy_data!L268,Sheet2!$Q$3:$Q$4,Sheet2!$R$3:$R$4)</f>
        <v>1.5</v>
      </c>
      <c r="H132">
        <f>_xlfn.XLOOKUP(insurance_policy_data!N268,Sheet2!$T$3:$T$5,Sheet2!$U$3:$U$5,,-1)</f>
        <v>1</v>
      </c>
      <c r="I132">
        <f t="shared" si="2"/>
        <v>319.46849999999995</v>
      </c>
    </row>
    <row r="133" spans="2:9" x14ac:dyDescent="0.3">
      <c r="B133">
        <f>_xlfn.XLOOKUP(insurance_policy_data!B6,Sheet2!$B$3:$B$8,Sheet2!$C$3:$C$8,,-1)</f>
        <v>1.27</v>
      </c>
      <c r="C133">
        <f>_xlfn.XLOOKUP(insurance_policy_data!I6,Sheet2!$E$3:$E$7,Sheet2!$F$3:$F$7,,-1)</f>
        <v>1.25</v>
      </c>
      <c r="D133">
        <f>_xlfn.XLOOKUP(insurance_policy_data!P6,Sheet2!$H$3:$H$5,Sheet2!$I$3:$I$5,,-1)</f>
        <v>1</v>
      </c>
      <c r="E133">
        <f>_xlfn.XLOOKUP(insurance_policy_data!M6,Sheet2!$K$3:$K$7,Sheet2!$L$3:$L$7,,-1)</f>
        <v>1.4</v>
      </c>
      <c r="F133">
        <f>_xlfn.XLOOKUP(insurance_policy_data!H6,Sheet2!$N$3:$N$9,Sheet2!$O$3:$O$9,,-1)</f>
        <v>1.2</v>
      </c>
      <c r="G133">
        <f>_xlfn.XLOOKUP(insurance_policy_data!L6,Sheet2!$Q$3:$Q$4,Sheet2!$R$3:$R$4)</f>
        <v>1.5</v>
      </c>
      <c r="H133">
        <f>_xlfn.XLOOKUP(insurance_policy_data!N6,Sheet2!$T$3:$T$5,Sheet2!$U$3:$U$5,,-1)</f>
        <v>1</v>
      </c>
      <c r="I133">
        <f t="shared" si="2"/>
        <v>320.03999999999991</v>
      </c>
    </row>
    <row r="134" spans="2:9" x14ac:dyDescent="0.3">
      <c r="B134">
        <f>_xlfn.XLOOKUP(insurance_policy_data!B286,Sheet2!$B$3:$B$8,Sheet2!$C$3:$C$8,,-1)</f>
        <v>1.27</v>
      </c>
      <c r="C134">
        <f>_xlfn.XLOOKUP(insurance_policy_data!I286,Sheet2!$E$3:$E$7,Sheet2!$F$3:$F$7,,-1)</f>
        <v>1.25</v>
      </c>
      <c r="D134">
        <f>_xlfn.XLOOKUP(insurance_policy_data!P286,Sheet2!$H$3:$H$5,Sheet2!$I$3:$I$5,,-1)</f>
        <v>1</v>
      </c>
      <c r="E134">
        <f>_xlfn.XLOOKUP(insurance_policy_data!M286,Sheet2!$K$3:$K$7,Sheet2!$L$3:$L$7,,-1)</f>
        <v>1.4</v>
      </c>
      <c r="F134">
        <f>_xlfn.XLOOKUP(insurance_policy_data!H286,Sheet2!$N$3:$N$9,Sheet2!$O$3:$O$9,,-1)</f>
        <v>1.2</v>
      </c>
      <c r="G134">
        <f>_xlfn.XLOOKUP(insurance_policy_data!L286,Sheet2!$Q$3:$Q$4,Sheet2!$R$3:$R$4)</f>
        <v>1.5</v>
      </c>
      <c r="H134">
        <f>_xlfn.XLOOKUP(insurance_policy_data!N286,Sheet2!$T$3:$T$5,Sheet2!$U$3:$U$5,,-1)</f>
        <v>1</v>
      </c>
      <c r="I134">
        <f t="shared" si="2"/>
        <v>320.03999999999991</v>
      </c>
    </row>
    <row r="135" spans="2:9" x14ac:dyDescent="0.3">
      <c r="B135">
        <f>_xlfn.XLOOKUP(insurance_policy_data!B288,Sheet2!$B$3:$B$8,Sheet2!$C$3:$C$8,,-1)</f>
        <v>1.27</v>
      </c>
      <c r="C135">
        <f>_xlfn.XLOOKUP(insurance_policy_data!I288,Sheet2!$E$3:$E$7,Sheet2!$F$3:$F$7,,-1)</f>
        <v>1.25</v>
      </c>
      <c r="D135">
        <f>_xlfn.XLOOKUP(insurance_policy_data!P288,Sheet2!$H$3:$H$5,Sheet2!$I$3:$I$5,,-1)</f>
        <v>1</v>
      </c>
      <c r="E135">
        <f>_xlfn.XLOOKUP(insurance_policy_data!M288,Sheet2!$K$3:$K$7,Sheet2!$L$3:$L$7,,-1)</f>
        <v>1.39</v>
      </c>
      <c r="F135">
        <f>_xlfn.XLOOKUP(insurance_policy_data!H288,Sheet2!$N$3:$N$9,Sheet2!$O$3:$O$9,,-1)</f>
        <v>1.1000000000000001</v>
      </c>
      <c r="G135">
        <f>_xlfn.XLOOKUP(insurance_policy_data!L288,Sheet2!$Q$3:$Q$4,Sheet2!$R$3:$R$4)</f>
        <v>1.5</v>
      </c>
      <c r="H135">
        <f>_xlfn.XLOOKUP(insurance_policy_data!N288,Sheet2!$T$3:$T$5,Sheet2!$U$3:$U$5,,-1)</f>
        <v>1.1000000000000001</v>
      </c>
      <c r="I135">
        <f t="shared" si="2"/>
        <v>320.40194999999994</v>
      </c>
    </row>
    <row r="136" spans="2:9" x14ac:dyDescent="0.3">
      <c r="B136">
        <f>_xlfn.XLOOKUP(insurance_policy_data!B200,Sheet2!$B$3:$B$8,Sheet2!$C$3:$C$8,,-1)</f>
        <v>1.34</v>
      </c>
      <c r="C136">
        <f>_xlfn.XLOOKUP(insurance_policy_data!I200,Sheet2!$E$3:$E$7,Sheet2!$F$3:$F$7,,-1)</f>
        <v>1.3</v>
      </c>
      <c r="D136">
        <f>_xlfn.XLOOKUP(insurance_policy_data!P200,Sheet2!$H$3:$H$5,Sheet2!$I$3:$I$5,,-1)</f>
        <v>1</v>
      </c>
      <c r="E136">
        <f>_xlfn.XLOOKUP(insurance_policy_data!M200,Sheet2!$K$3:$K$7,Sheet2!$L$3:$L$7,,-1)</f>
        <v>1.4</v>
      </c>
      <c r="F136">
        <f>_xlfn.XLOOKUP(insurance_policy_data!H200,Sheet2!$N$3:$N$9,Sheet2!$O$3:$O$9,,-1)</f>
        <v>1.1000000000000001</v>
      </c>
      <c r="G136">
        <f>_xlfn.XLOOKUP(insurance_policy_data!L200,Sheet2!$Q$3:$Q$4,Sheet2!$R$3:$R$4)</f>
        <v>1.5</v>
      </c>
      <c r="H136">
        <f>_xlfn.XLOOKUP(insurance_policy_data!N200,Sheet2!$T$3:$T$5,Sheet2!$U$3:$U$5,,-1)</f>
        <v>1</v>
      </c>
      <c r="I136">
        <f t="shared" si="2"/>
        <v>321.92160000000001</v>
      </c>
    </row>
    <row r="137" spans="2:9" x14ac:dyDescent="0.3">
      <c r="B137">
        <f>_xlfn.XLOOKUP(insurance_policy_data!B75,Sheet2!$B$3:$B$8,Sheet2!$C$3:$C$8,,-1)</f>
        <v>1.27</v>
      </c>
      <c r="C137">
        <f>_xlfn.XLOOKUP(insurance_policy_data!I75,Sheet2!$E$3:$E$7,Sheet2!$F$3:$F$7,,-1)</f>
        <v>1.25</v>
      </c>
      <c r="D137">
        <f>_xlfn.XLOOKUP(insurance_policy_data!P75,Sheet2!$H$3:$H$5,Sheet2!$I$3:$I$5,,-1)</f>
        <v>1</v>
      </c>
      <c r="E137">
        <f>_xlfn.XLOOKUP(insurance_policy_data!M75,Sheet2!$K$3:$K$7,Sheet2!$L$3:$L$7,,-1)</f>
        <v>1.4</v>
      </c>
      <c r="F137">
        <f>_xlfn.XLOOKUP(insurance_policy_data!H75,Sheet2!$N$3:$N$9,Sheet2!$O$3:$O$9,,-1)</f>
        <v>1.1000000000000001</v>
      </c>
      <c r="G137">
        <f>_xlfn.XLOOKUP(insurance_policy_data!L75,Sheet2!$Q$3:$Q$4,Sheet2!$R$3:$R$4)</f>
        <v>1.5</v>
      </c>
      <c r="H137">
        <f>_xlfn.XLOOKUP(insurance_policy_data!N75,Sheet2!$T$3:$T$5,Sheet2!$U$3:$U$5,,-1)</f>
        <v>1.1000000000000001</v>
      </c>
      <c r="I137">
        <f t="shared" si="2"/>
        <v>322.70700000000005</v>
      </c>
    </row>
    <row r="138" spans="2:9" x14ac:dyDescent="0.3">
      <c r="B138">
        <f>_xlfn.XLOOKUP(insurance_policy_data!B171,Sheet2!$B$3:$B$8,Sheet2!$C$3:$C$8,,-1)</f>
        <v>1.35</v>
      </c>
      <c r="C138">
        <f>_xlfn.XLOOKUP(insurance_policy_data!I171,Sheet2!$E$3:$E$7,Sheet2!$F$3:$F$7,,-1)</f>
        <v>1.31</v>
      </c>
      <c r="D138">
        <f>_xlfn.XLOOKUP(insurance_policy_data!P171,Sheet2!$H$3:$H$5,Sheet2!$I$3:$I$5,,-1)</f>
        <v>1.45</v>
      </c>
      <c r="E138">
        <f>_xlfn.XLOOKUP(insurance_policy_data!M171,Sheet2!$K$3:$K$7,Sheet2!$L$3:$L$7,,-1)</f>
        <v>1.4</v>
      </c>
      <c r="F138">
        <f>_xlfn.XLOOKUP(insurance_policy_data!H171,Sheet2!$N$3:$N$9,Sheet2!$O$3:$O$9,,-1)</f>
        <v>1.25</v>
      </c>
      <c r="G138">
        <f>_xlfn.XLOOKUP(insurance_policy_data!L171,Sheet2!$Q$3:$Q$4,Sheet2!$R$3:$R$4)</f>
        <v>0.75</v>
      </c>
      <c r="H138">
        <f>_xlfn.XLOOKUP(insurance_policy_data!N171,Sheet2!$T$3:$T$5,Sheet2!$U$3:$U$5,,-1)</f>
        <v>1.2</v>
      </c>
      <c r="I138">
        <f t="shared" si="2"/>
        <v>323.10494999999997</v>
      </c>
    </row>
    <row r="139" spans="2:9" x14ac:dyDescent="0.3">
      <c r="B139">
        <f>_xlfn.XLOOKUP(insurance_policy_data!B303,Sheet2!$B$3:$B$8,Sheet2!$C$3:$C$8,,-1)</f>
        <v>1.25</v>
      </c>
      <c r="C139">
        <f>_xlfn.XLOOKUP(insurance_policy_data!I303,Sheet2!$E$3:$E$7,Sheet2!$F$3:$F$7,,-1)</f>
        <v>1.3</v>
      </c>
      <c r="D139">
        <f>_xlfn.XLOOKUP(insurance_policy_data!P303,Sheet2!$H$3:$H$5,Sheet2!$I$3:$I$5,,-1)</f>
        <v>1</v>
      </c>
      <c r="E139">
        <f>_xlfn.XLOOKUP(insurance_policy_data!M303,Sheet2!$K$3:$K$7,Sheet2!$L$3:$L$7,,-1)</f>
        <v>1.26</v>
      </c>
      <c r="F139">
        <f>_xlfn.XLOOKUP(insurance_policy_data!H303,Sheet2!$N$3:$N$9,Sheet2!$O$3:$O$9,,-1)</f>
        <v>1.2</v>
      </c>
      <c r="G139">
        <f>_xlfn.XLOOKUP(insurance_policy_data!L303,Sheet2!$Q$3:$Q$4,Sheet2!$R$3:$R$4)</f>
        <v>1.5</v>
      </c>
      <c r="H139">
        <f>_xlfn.XLOOKUP(insurance_policy_data!N303,Sheet2!$T$3:$T$5,Sheet2!$U$3:$U$5,,-1)</f>
        <v>1.1000000000000001</v>
      </c>
      <c r="I139">
        <f t="shared" si="2"/>
        <v>324.32400000000001</v>
      </c>
    </row>
    <row r="140" spans="2:9" x14ac:dyDescent="0.3">
      <c r="B140">
        <f>_xlfn.XLOOKUP(insurance_policy_data!B226,Sheet2!$B$3:$B$8,Sheet2!$C$3:$C$8,,-1)</f>
        <v>1.25</v>
      </c>
      <c r="C140">
        <f>_xlfn.XLOOKUP(insurance_policy_data!I226,Sheet2!$E$3:$E$7,Sheet2!$F$3:$F$7,,-1)</f>
        <v>1.3</v>
      </c>
      <c r="D140">
        <f>_xlfn.XLOOKUP(insurance_policy_data!P226,Sheet2!$H$3:$H$5,Sheet2!$I$3:$I$5,,-1)</f>
        <v>1</v>
      </c>
      <c r="E140">
        <f>_xlfn.XLOOKUP(insurance_policy_data!M226,Sheet2!$K$3:$K$7,Sheet2!$L$3:$L$7,,-1)</f>
        <v>1.39</v>
      </c>
      <c r="F140">
        <f>_xlfn.XLOOKUP(insurance_policy_data!H226,Sheet2!$N$3:$N$9,Sheet2!$O$3:$O$9,,-1)</f>
        <v>1.2</v>
      </c>
      <c r="G140">
        <f>_xlfn.XLOOKUP(insurance_policy_data!L226,Sheet2!$Q$3:$Q$4,Sheet2!$R$3:$R$4)</f>
        <v>1.5</v>
      </c>
      <c r="H140">
        <f>_xlfn.XLOOKUP(insurance_policy_data!N226,Sheet2!$T$3:$T$5,Sheet2!$U$3:$U$5,,-1)</f>
        <v>1</v>
      </c>
      <c r="I140">
        <f t="shared" si="2"/>
        <v>325.26000000000005</v>
      </c>
    </row>
    <row r="141" spans="2:9" x14ac:dyDescent="0.3">
      <c r="B141">
        <f>_xlfn.XLOOKUP(insurance_policy_data!B319,Sheet2!$B$3:$B$8,Sheet2!$C$3:$C$8,,-1)</f>
        <v>1.27</v>
      </c>
      <c r="C141">
        <f>_xlfn.XLOOKUP(insurance_policy_data!I319,Sheet2!$E$3:$E$7,Sheet2!$F$3:$F$7,,-1)</f>
        <v>1.25</v>
      </c>
      <c r="D141">
        <f>_xlfn.XLOOKUP(insurance_policy_data!P319,Sheet2!$H$3:$H$5,Sheet2!$I$3:$I$5,,-1)</f>
        <v>1</v>
      </c>
      <c r="E141">
        <f>_xlfn.XLOOKUP(insurance_policy_data!M319,Sheet2!$K$3:$K$7,Sheet2!$L$3:$L$7,,-1)</f>
        <v>1.26</v>
      </c>
      <c r="F141">
        <f>_xlfn.XLOOKUP(insurance_policy_data!H319,Sheet2!$N$3:$N$9,Sheet2!$O$3:$O$9,,-1)</f>
        <v>1.36</v>
      </c>
      <c r="G141">
        <f>_xlfn.XLOOKUP(insurance_policy_data!L319,Sheet2!$Q$3:$Q$4,Sheet2!$R$3:$R$4)</f>
        <v>1.5</v>
      </c>
      <c r="H141">
        <f>_xlfn.XLOOKUP(insurance_policy_data!N319,Sheet2!$T$3:$T$5,Sheet2!$U$3:$U$5,,-1)</f>
        <v>1</v>
      </c>
      <c r="I141">
        <f t="shared" si="2"/>
        <v>326.44080000000002</v>
      </c>
    </row>
    <row r="142" spans="2:9" x14ac:dyDescent="0.3">
      <c r="B142">
        <f>_xlfn.XLOOKUP(insurance_policy_data!B66,Sheet2!$B$3:$B$8,Sheet2!$C$3:$C$8,,-1)</f>
        <v>1.27</v>
      </c>
      <c r="C142">
        <f>_xlfn.XLOOKUP(insurance_policy_data!I66,Sheet2!$E$3:$E$7,Sheet2!$F$3:$F$7,,-1)</f>
        <v>1.25</v>
      </c>
      <c r="D142">
        <f>_xlfn.XLOOKUP(insurance_policy_data!P66,Sheet2!$H$3:$H$5,Sheet2!$I$3:$I$5,,-1)</f>
        <v>1</v>
      </c>
      <c r="E142">
        <f>_xlfn.XLOOKUP(insurance_policy_data!M66,Sheet2!$K$3:$K$7,Sheet2!$L$3:$L$7,,-1)</f>
        <v>1.3</v>
      </c>
      <c r="F142">
        <f>_xlfn.XLOOKUP(insurance_policy_data!H66,Sheet2!$N$3:$N$9,Sheet2!$O$3:$O$9,,-1)</f>
        <v>1.1000000000000001</v>
      </c>
      <c r="G142">
        <f>_xlfn.XLOOKUP(insurance_policy_data!L66,Sheet2!$Q$3:$Q$4,Sheet2!$R$3:$R$4)</f>
        <v>1.5</v>
      </c>
      <c r="H142">
        <f>_xlfn.XLOOKUP(insurance_policy_data!N66,Sheet2!$T$3:$T$5,Sheet2!$U$3:$U$5,,-1)</f>
        <v>1.2</v>
      </c>
      <c r="I142">
        <f t="shared" si="2"/>
        <v>326.89799999999991</v>
      </c>
    </row>
    <row r="143" spans="2:9" x14ac:dyDescent="0.3">
      <c r="B143">
        <f>_xlfn.XLOOKUP(insurance_policy_data!B29,Sheet2!$B$3:$B$8,Sheet2!$C$3:$C$8,,-1)</f>
        <v>1.27</v>
      </c>
      <c r="C143">
        <f>_xlfn.XLOOKUP(insurance_policy_data!I29,Sheet2!$E$3:$E$7,Sheet2!$F$3:$F$7,,-1)</f>
        <v>1.25</v>
      </c>
      <c r="D143">
        <f>_xlfn.XLOOKUP(insurance_policy_data!P29,Sheet2!$H$3:$H$5,Sheet2!$I$3:$I$5,,-1)</f>
        <v>1</v>
      </c>
      <c r="E143">
        <f>_xlfn.XLOOKUP(insurance_policy_data!M29,Sheet2!$K$3:$K$7,Sheet2!$L$3:$L$7,,-1)</f>
        <v>1.3</v>
      </c>
      <c r="F143">
        <f>_xlfn.XLOOKUP(insurance_policy_data!H29,Sheet2!$N$3:$N$9,Sheet2!$O$3:$O$9,,-1)</f>
        <v>1.33</v>
      </c>
      <c r="G143">
        <f>_xlfn.XLOOKUP(insurance_policy_data!L29,Sheet2!$Q$3:$Q$4,Sheet2!$R$3:$R$4)</f>
        <v>1.5</v>
      </c>
      <c r="H143">
        <f>_xlfn.XLOOKUP(insurance_policy_data!N29,Sheet2!$T$3:$T$5,Sheet2!$U$3:$U$5,,-1)</f>
        <v>1</v>
      </c>
      <c r="I143">
        <f t="shared" si="2"/>
        <v>329.37450000000001</v>
      </c>
    </row>
    <row r="144" spans="2:9" x14ac:dyDescent="0.3">
      <c r="B144">
        <f>_xlfn.XLOOKUP(insurance_policy_data!B113,Sheet2!$B$3:$B$8,Sheet2!$C$3:$C$8,,-1)</f>
        <v>1.35</v>
      </c>
      <c r="C144">
        <f>_xlfn.XLOOKUP(insurance_policy_data!I113,Sheet2!$E$3:$E$7,Sheet2!$F$3:$F$7,,-1)</f>
        <v>1.31</v>
      </c>
      <c r="D144">
        <f>_xlfn.XLOOKUP(insurance_policy_data!P113,Sheet2!$H$3:$H$5,Sheet2!$I$3:$I$5,,-1)</f>
        <v>1.45</v>
      </c>
      <c r="E144">
        <f>_xlfn.XLOOKUP(insurance_policy_data!M113,Sheet2!$K$3:$K$7,Sheet2!$L$3:$L$7,,-1)</f>
        <v>1.4</v>
      </c>
      <c r="F144">
        <f>_xlfn.XLOOKUP(insurance_policy_data!H113,Sheet2!$N$3:$N$9,Sheet2!$O$3:$O$9,,-1)</f>
        <v>1.29</v>
      </c>
      <c r="G144">
        <f>_xlfn.XLOOKUP(insurance_policy_data!L113,Sheet2!$Q$3:$Q$4,Sheet2!$R$3:$R$4)</f>
        <v>0.75</v>
      </c>
      <c r="H144">
        <f>_xlfn.XLOOKUP(insurance_policy_data!N113,Sheet2!$T$3:$T$5,Sheet2!$U$3:$U$5,,-1)</f>
        <v>1.2</v>
      </c>
      <c r="I144">
        <f t="shared" si="2"/>
        <v>333.44430840000001</v>
      </c>
    </row>
    <row r="145" spans="2:9" x14ac:dyDescent="0.3">
      <c r="B145">
        <f>_xlfn.XLOOKUP(insurance_policy_data!B165,Sheet2!$B$3:$B$8,Sheet2!$C$3:$C$8,,-1)</f>
        <v>1.35</v>
      </c>
      <c r="C145">
        <f>_xlfn.XLOOKUP(insurance_policy_data!I165,Sheet2!$E$3:$E$7,Sheet2!$F$3:$F$7,,-1)</f>
        <v>1.31</v>
      </c>
      <c r="D145">
        <f>_xlfn.XLOOKUP(insurance_policy_data!P165,Sheet2!$H$3:$H$5,Sheet2!$I$3:$I$5,,-1)</f>
        <v>1.45</v>
      </c>
      <c r="E145">
        <f>_xlfn.XLOOKUP(insurance_policy_data!M165,Sheet2!$K$3:$K$7,Sheet2!$L$3:$L$7,,-1)</f>
        <v>1.4</v>
      </c>
      <c r="F145">
        <f>_xlfn.XLOOKUP(insurance_policy_data!H165,Sheet2!$N$3:$N$9,Sheet2!$O$3:$O$9,,-1)</f>
        <v>1.29</v>
      </c>
      <c r="G145">
        <f>_xlfn.XLOOKUP(insurance_policy_data!L165,Sheet2!$Q$3:$Q$4,Sheet2!$R$3:$R$4)</f>
        <v>0.75</v>
      </c>
      <c r="H145">
        <f>_xlfn.XLOOKUP(insurance_policy_data!N165,Sheet2!$T$3:$T$5,Sheet2!$U$3:$U$5,,-1)</f>
        <v>1.2</v>
      </c>
      <c r="I145">
        <f t="shared" si="2"/>
        <v>333.44430840000001</v>
      </c>
    </row>
    <row r="146" spans="2:9" x14ac:dyDescent="0.3">
      <c r="B146">
        <f>_xlfn.XLOOKUP(insurance_policy_data!B110,Sheet2!$B$3:$B$8,Sheet2!$C$3:$C$8,,-1)</f>
        <v>1.21</v>
      </c>
      <c r="C146">
        <f>_xlfn.XLOOKUP(insurance_policy_data!I110,Sheet2!$E$3:$E$7,Sheet2!$F$3:$F$7,,-1)</f>
        <v>1.25</v>
      </c>
      <c r="D146">
        <f>_xlfn.XLOOKUP(insurance_policy_data!P110,Sheet2!$H$3:$H$5,Sheet2!$I$3:$I$5,,-1)</f>
        <v>1</v>
      </c>
      <c r="E146">
        <f>_xlfn.XLOOKUP(insurance_policy_data!M110,Sheet2!$K$3:$K$7,Sheet2!$L$3:$L$7,,-1)</f>
        <v>1.3</v>
      </c>
      <c r="F146">
        <f>_xlfn.XLOOKUP(insurance_policy_data!H110,Sheet2!$N$3:$N$9,Sheet2!$O$3:$O$9,,-1)</f>
        <v>1.29</v>
      </c>
      <c r="G146">
        <f>_xlfn.XLOOKUP(insurance_policy_data!L110,Sheet2!$Q$3:$Q$4,Sheet2!$R$3:$R$4)</f>
        <v>1.5</v>
      </c>
      <c r="H146">
        <f>_xlfn.XLOOKUP(insurance_policy_data!N110,Sheet2!$T$3:$T$5,Sheet2!$U$3:$U$5,,-1)</f>
        <v>1.1000000000000001</v>
      </c>
      <c r="I146">
        <f t="shared" si="2"/>
        <v>334.81305000000009</v>
      </c>
    </row>
    <row r="147" spans="2:9" x14ac:dyDescent="0.3">
      <c r="B147">
        <f>_xlfn.XLOOKUP(insurance_policy_data!B307,Sheet2!$B$3:$B$8,Sheet2!$C$3:$C$8,,-1)</f>
        <v>1.21</v>
      </c>
      <c r="C147">
        <f>_xlfn.XLOOKUP(insurance_policy_data!I307,Sheet2!$E$3:$E$7,Sheet2!$F$3:$F$7,,-1)</f>
        <v>1.25</v>
      </c>
      <c r="D147">
        <f>_xlfn.XLOOKUP(insurance_policy_data!P307,Sheet2!$H$3:$H$5,Sheet2!$I$3:$I$5,,-1)</f>
        <v>1</v>
      </c>
      <c r="E147">
        <f>_xlfn.XLOOKUP(insurance_policy_data!M307,Sheet2!$K$3:$K$7,Sheet2!$L$3:$L$7,,-1)</f>
        <v>1.3</v>
      </c>
      <c r="F147">
        <f>_xlfn.XLOOKUP(insurance_policy_data!H307,Sheet2!$N$3:$N$9,Sheet2!$O$3:$O$9,,-1)</f>
        <v>1.29</v>
      </c>
      <c r="G147">
        <f>_xlfn.XLOOKUP(insurance_policy_data!L307,Sheet2!$Q$3:$Q$4,Sheet2!$R$3:$R$4)</f>
        <v>1.5</v>
      </c>
      <c r="H147">
        <f>_xlfn.XLOOKUP(insurance_policy_data!N307,Sheet2!$T$3:$T$5,Sheet2!$U$3:$U$5,,-1)</f>
        <v>1.1000000000000001</v>
      </c>
      <c r="I147">
        <f t="shared" si="2"/>
        <v>334.81305000000009</v>
      </c>
    </row>
    <row r="148" spans="2:9" x14ac:dyDescent="0.3">
      <c r="B148">
        <f>_xlfn.XLOOKUP(insurance_policy_data!B191,Sheet2!$B$3:$B$8,Sheet2!$C$3:$C$8,,-1)</f>
        <v>1.21</v>
      </c>
      <c r="C148">
        <f>_xlfn.XLOOKUP(insurance_policy_data!I191,Sheet2!$E$3:$E$7,Sheet2!$F$3:$F$7,,-1)</f>
        <v>1.25</v>
      </c>
      <c r="D148">
        <f>_xlfn.XLOOKUP(insurance_policy_data!P191,Sheet2!$H$3:$H$5,Sheet2!$I$3:$I$5,,-1)</f>
        <v>1</v>
      </c>
      <c r="E148">
        <f>_xlfn.XLOOKUP(insurance_policy_data!M191,Sheet2!$K$3:$K$7,Sheet2!$L$3:$L$7,,-1)</f>
        <v>1.4</v>
      </c>
      <c r="F148">
        <f>_xlfn.XLOOKUP(insurance_policy_data!H191,Sheet2!$N$3:$N$9,Sheet2!$O$3:$O$9,,-1)</f>
        <v>1.1000000000000001</v>
      </c>
      <c r="G148">
        <f>_xlfn.XLOOKUP(insurance_policy_data!L191,Sheet2!$Q$3:$Q$4,Sheet2!$R$3:$R$4)</f>
        <v>1.5</v>
      </c>
      <c r="H148">
        <f>_xlfn.XLOOKUP(insurance_policy_data!N191,Sheet2!$T$3:$T$5,Sheet2!$U$3:$U$5,,-1)</f>
        <v>1.2</v>
      </c>
      <c r="I148">
        <f t="shared" si="2"/>
        <v>335.41199999999998</v>
      </c>
    </row>
    <row r="149" spans="2:9" x14ac:dyDescent="0.3">
      <c r="B149">
        <f>_xlfn.XLOOKUP(insurance_policy_data!B243,Sheet2!$B$3:$B$8,Sheet2!$C$3:$C$8,,-1)</f>
        <v>1.34</v>
      </c>
      <c r="C149">
        <f>_xlfn.XLOOKUP(insurance_policy_data!I243,Sheet2!$E$3:$E$7,Sheet2!$F$3:$F$7,,-1)</f>
        <v>1.3</v>
      </c>
      <c r="D149">
        <f>_xlfn.XLOOKUP(insurance_policy_data!P243,Sheet2!$H$3:$H$5,Sheet2!$I$3:$I$5,,-1)</f>
        <v>1.45</v>
      </c>
      <c r="E149">
        <f>_xlfn.XLOOKUP(insurance_policy_data!M243,Sheet2!$K$3:$K$7,Sheet2!$L$3:$L$7,,-1)</f>
        <v>1.39</v>
      </c>
      <c r="F149">
        <f>_xlfn.XLOOKUP(insurance_policy_data!H243,Sheet2!$N$3:$N$9,Sheet2!$O$3:$O$9,,-1)</f>
        <v>1.33</v>
      </c>
      <c r="G149">
        <f>_xlfn.XLOOKUP(insurance_policy_data!L243,Sheet2!$Q$3:$Q$4,Sheet2!$R$3:$R$4)</f>
        <v>0.75</v>
      </c>
      <c r="H149">
        <f>_xlfn.XLOOKUP(insurance_policy_data!N243,Sheet2!$T$3:$T$5,Sheet2!$U$3:$U$5,,-1)</f>
        <v>1.2</v>
      </c>
      <c r="I149">
        <f t="shared" si="2"/>
        <v>336.21345575999999</v>
      </c>
    </row>
    <row r="150" spans="2:9" x14ac:dyDescent="0.3">
      <c r="B150">
        <f>_xlfn.XLOOKUP(insurance_policy_data!B175,Sheet2!$B$3:$B$8,Sheet2!$C$3:$C$8,,-1)</f>
        <v>1.25</v>
      </c>
      <c r="C150">
        <f>_xlfn.XLOOKUP(insurance_policy_data!I175,Sheet2!$E$3:$E$7,Sheet2!$F$3:$F$7,,-1)</f>
        <v>1.3</v>
      </c>
      <c r="D150">
        <f>_xlfn.XLOOKUP(insurance_policy_data!P175,Sheet2!$H$3:$H$5,Sheet2!$I$3:$I$5,,-1)</f>
        <v>1</v>
      </c>
      <c r="E150">
        <f>_xlfn.XLOOKUP(insurance_policy_data!M175,Sheet2!$K$3:$K$7,Sheet2!$L$3:$L$7,,-1)</f>
        <v>1.26</v>
      </c>
      <c r="F150">
        <f>_xlfn.XLOOKUP(insurance_policy_data!H175,Sheet2!$N$3:$N$9,Sheet2!$O$3:$O$9,,-1)</f>
        <v>1.25</v>
      </c>
      <c r="G150">
        <f>_xlfn.XLOOKUP(insurance_policy_data!L175,Sheet2!$Q$3:$Q$4,Sheet2!$R$3:$R$4)</f>
        <v>1.5</v>
      </c>
      <c r="H150">
        <f>_xlfn.XLOOKUP(insurance_policy_data!N175,Sheet2!$T$3:$T$5,Sheet2!$U$3:$U$5,,-1)</f>
        <v>1.1000000000000001</v>
      </c>
      <c r="I150">
        <f t="shared" si="2"/>
        <v>337.83749999999998</v>
      </c>
    </row>
    <row r="151" spans="2:9" x14ac:dyDescent="0.3">
      <c r="B151">
        <f>_xlfn.XLOOKUP(insurance_policy_data!B112,Sheet2!$B$3:$B$8,Sheet2!$C$3:$C$8,,-1)</f>
        <v>1.35</v>
      </c>
      <c r="C151">
        <f>_xlfn.XLOOKUP(insurance_policy_data!I112,Sheet2!$E$3:$E$7,Sheet2!$F$3:$F$7,,-1)</f>
        <v>1.31</v>
      </c>
      <c r="D151">
        <f>_xlfn.XLOOKUP(insurance_policy_data!P112,Sheet2!$H$3:$H$5,Sheet2!$I$3:$I$5,,-1)</f>
        <v>1.45</v>
      </c>
      <c r="E151">
        <f>_xlfn.XLOOKUP(insurance_policy_data!M112,Sheet2!$K$3:$K$7,Sheet2!$L$3:$L$7,,-1)</f>
        <v>1.39</v>
      </c>
      <c r="F151">
        <f>_xlfn.XLOOKUP(insurance_policy_data!H112,Sheet2!$N$3:$N$9,Sheet2!$O$3:$O$9,,-1)</f>
        <v>1.33</v>
      </c>
      <c r="G151">
        <f>_xlfn.XLOOKUP(insurance_policy_data!L112,Sheet2!$Q$3:$Q$4,Sheet2!$R$3:$R$4)</f>
        <v>0.75</v>
      </c>
      <c r="H151">
        <f>_xlfn.XLOOKUP(insurance_policy_data!N112,Sheet2!$T$3:$T$5,Sheet2!$U$3:$U$5,,-1)</f>
        <v>1.2</v>
      </c>
      <c r="I151">
        <f t="shared" si="2"/>
        <v>341.32806918</v>
      </c>
    </row>
    <row r="152" spans="2:9" x14ac:dyDescent="0.3">
      <c r="B152">
        <f>_xlfn.XLOOKUP(insurance_policy_data!B209,Sheet2!$B$3:$B$8,Sheet2!$C$3:$C$8,,-1)</f>
        <v>1.27</v>
      </c>
      <c r="C152">
        <f>_xlfn.XLOOKUP(insurance_policy_data!I209,Sheet2!$E$3:$E$7,Sheet2!$F$3:$F$7,,-1)</f>
        <v>1.25</v>
      </c>
      <c r="D152">
        <f>_xlfn.XLOOKUP(insurance_policy_data!P209,Sheet2!$H$3:$H$5,Sheet2!$I$3:$I$5,,-1)</f>
        <v>1</v>
      </c>
      <c r="E152">
        <f>_xlfn.XLOOKUP(insurance_policy_data!M209,Sheet2!$K$3:$K$7,Sheet2!$L$3:$L$7,,-1)</f>
        <v>1.39</v>
      </c>
      <c r="F152">
        <f>_xlfn.XLOOKUP(insurance_policy_data!H209,Sheet2!$N$3:$N$9,Sheet2!$O$3:$O$9,,-1)</f>
        <v>1.29</v>
      </c>
      <c r="G152">
        <f>_xlfn.XLOOKUP(insurance_policy_data!L209,Sheet2!$Q$3:$Q$4,Sheet2!$R$3:$R$4)</f>
        <v>1.5</v>
      </c>
      <c r="H152">
        <f>_xlfn.XLOOKUP(insurance_policy_data!N209,Sheet2!$T$3:$T$5,Sheet2!$U$3:$U$5,,-1)</f>
        <v>1</v>
      </c>
      <c r="I152">
        <f t="shared" si="2"/>
        <v>341.58555000000001</v>
      </c>
    </row>
    <row r="153" spans="2:9" x14ac:dyDescent="0.3">
      <c r="B153">
        <f>_xlfn.XLOOKUP(insurance_policy_data!B267,Sheet2!$B$3:$B$8,Sheet2!$C$3:$C$8,,-1)</f>
        <v>1.21</v>
      </c>
      <c r="C153">
        <f>_xlfn.XLOOKUP(insurance_policy_data!I267,Sheet2!$E$3:$E$7,Sheet2!$F$3:$F$7,,-1)</f>
        <v>1.25</v>
      </c>
      <c r="D153">
        <f>_xlfn.XLOOKUP(insurance_policy_data!P267,Sheet2!$H$3:$H$5,Sheet2!$I$3:$I$5,,-1)</f>
        <v>1</v>
      </c>
      <c r="E153">
        <f>_xlfn.XLOOKUP(insurance_policy_data!M267,Sheet2!$K$3:$K$7,Sheet2!$L$3:$L$7,,-1)</f>
        <v>1.26</v>
      </c>
      <c r="F153">
        <f>_xlfn.XLOOKUP(insurance_policy_data!H267,Sheet2!$N$3:$N$9,Sheet2!$O$3:$O$9,,-1)</f>
        <v>1.25</v>
      </c>
      <c r="G153">
        <f>_xlfn.XLOOKUP(insurance_policy_data!L267,Sheet2!$Q$3:$Q$4,Sheet2!$R$3:$R$4)</f>
        <v>1.5</v>
      </c>
      <c r="H153">
        <f>_xlfn.XLOOKUP(insurance_policy_data!N267,Sheet2!$T$3:$T$5,Sheet2!$U$3:$U$5,,-1)</f>
        <v>1.2</v>
      </c>
      <c r="I153">
        <f t="shared" si="2"/>
        <v>343.03499999999997</v>
      </c>
    </row>
    <row r="154" spans="2:9" x14ac:dyDescent="0.3">
      <c r="B154">
        <f>_xlfn.XLOOKUP(insurance_policy_data!B318,Sheet2!$B$3:$B$8,Sheet2!$C$3:$C$8,,-1)</f>
        <v>1.21</v>
      </c>
      <c r="C154">
        <f>_xlfn.XLOOKUP(insurance_policy_data!I318,Sheet2!$E$3:$E$7,Sheet2!$F$3:$F$7,,-1)</f>
        <v>1.25</v>
      </c>
      <c r="D154">
        <f>_xlfn.XLOOKUP(insurance_policy_data!P318,Sheet2!$H$3:$H$5,Sheet2!$I$3:$I$5,,-1)</f>
        <v>1</v>
      </c>
      <c r="E154">
        <f>_xlfn.XLOOKUP(insurance_policy_data!M318,Sheet2!$K$3:$K$7,Sheet2!$L$3:$L$7,,-1)</f>
        <v>1.26</v>
      </c>
      <c r="F154">
        <f>_xlfn.XLOOKUP(insurance_policy_data!H318,Sheet2!$N$3:$N$9,Sheet2!$O$3:$O$9,,-1)</f>
        <v>1.25</v>
      </c>
      <c r="G154">
        <f>_xlfn.XLOOKUP(insurance_policy_data!L318,Sheet2!$Q$3:$Q$4,Sheet2!$R$3:$R$4)</f>
        <v>1.5</v>
      </c>
      <c r="H154">
        <f>_xlfn.XLOOKUP(insurance_policy_data!N318,Sheet2!$T$3:$T$5,Sheet2!$U$3:$U$5,,-1)</f>
        <v>1.2</v>
      </c>
      <c r="I154">
        <f t="shared" si="2"/>
        <v>343.03499999999997</v>
      </c>
    </row>
    <row r="155" spans="2:9" x14ac:dyDescent="0.3">
      <c r="B155">
        <f>_xlfn.XLOOKUP(insurance_policy_data!B192,Sheet2!$B$3:$B$8,Sheet2!$C$3:$C$8,,-1)</f>
        <v>1.27</v>
      </c>
      <c r="C155">
        <f>_xlfn.XLOOKUP(insurance_policy_data!I192,Sheet2!$E$3:$E$7,Sheet2!$F$3:$F$7,,-1)</f>
        <v>1.25</v>
      </c>
      <c r="D155">
        <f>_xlfn.XLOOKUP(insurance_policy_data!P192,Sheet2!$H$3:$H$5,Sheet2!$I$3:$I$5,,-1)</f>
        <v>1</v>
      </c>
      <c r="E155">
        <f>_xlfn.XLOOKUP(insurance_policy_data!M192,Sheet2!$K$3:$K$7,Sheet2!$L$3:$L$7,,-1)</f>
        <v>1.4</v>
      </c>
      <c r="F155">
        <f>_xlfn.XLOOKUP(insurance_policy_data!H192,Sheet2!$N$3:$N$9,Sheet2!$O$3:$O$9,,-1)</f>
        <v>1.29</v>
      </c>
      <c r="G155">
        <f>_xlfn.XLOOKUP(insurance_policy_data!L192,Sheet2!$Q$3:$Q$4,Sheet2!$R$3:$R$4)</f>
        <v>1.5</v>
      </c>
      <c r="H155">
        <f>_xlfn.XLOOKUP(insurance_policy_data!N192,Sheet2!$T$3:$T$5,Sheet2!$U$3:$U$5,,-1)</f>
        <v>1</v>
      </c>
      <c r="I155">
        <f t="shared" si="2"/>
        <v>344.04299999999989</v>
      </c>
    </row>
    <row r="156" spans="2:9" x14ac:dyDescent="0.3">
      <c r="B156">
        <f>_xlfn.XLOOKUP(insurance_policy_data!B130,Sheet2!$B$3:$B$8,Sheet2!$C$3:$C$8,,-1)</f>
        <v>1.21</v>
      </c>
      <c r="C156">
        <f>_xlfn.XLOOKUP(insurance_policy_data!I130,Sheet2!$E$3:$E$7,Sheet2!$F$3:$F$7,,-1)</f>
        <v>1.25</v>
      </c>
      <c r="D156">
        <f>_xlfn.XLOOKUP(insurance_policy_data!P130,Sheet2!$H$3:$H$5,Sheet2!$I$3:$I$5,,-1)</f>
        <v>1</v>
      </c>
      <c r="E156">
        <f>_xlfn.XLOOKUP(insurance_policy_data!M130,Sheet2!$K$3:$K$7,Sheet2!$L$3:$L$7,,-1)</f>
        <v>1.3</v>
      </c>
      <c r="F156">
        <f>_xlfn.XLOOKUP(insurance_policy_data!H130,Sheet2!$N$3:$N$9,Sheet2!$O$3:$O$9,,-1)</f>
        <v>1.33</v>
      </c>
      <c r="G156">
        <f>_xlfn.XLOOKUP(insurance_policy_data!L130,Sheet2!$Q$3:$Q$4,Sheet2!$R$3:$R$4)</f>
        <v>1.5</v>
      </c>
      <c r="H156">
        <f>_xlfn.XLOOKUP(insurance_policy_data!N130,Sheet2!$T$3:$T$5,Sheet2!$U$3:$U$5,,-1)</f>
        <v>1.1000000000000001</v>
      </c>
      <c r="I156">
        <f t="shared" si="2"/>
        <v>345.19485000000009</v>
      </c>
    </row>
    <row r="157" spans="2:9" x14ac:dyDescent="0.3">
      <c r="B157">
        <f>_xlfn.XLOOKUP(insurance_policy_data!B283,Sheet2!$B$3:$B$8,Sheet2!$C$3:$C$8,,-1)</f>
        <v>1.21</v>
      </c>
      <c r="C157">
        <f>_xlfn.XLOOKUP(insurance_policy_data!I283,Sheet2!$E$3:$E$7,Sheet2!$F$3:$F$7,,-1)</f>
        <v>1.25</v>
      </c>
      <c r="D157">
        <f>_xlfn.XLOOKUP(insurance_policy_data!P283,Sheet2!$H$3:$H$5,Sheet2!$I$3:$I$5,,-1)</f>
        <v>1</v>
      </c>
      <c r="E157">
        <f>_xlfn.XLOOKUP(insurance_policy_data!M283,Sheet2!$K$3:$K$7,Sheet2!$L$3:$L$7,,-1)</f>
        <v>1.4</v>
      </c>
      <c r="F157">
        <f>_xlfn.XLOOKUP(insurance_policy_data!H283,Sheet2!$N$3:$N$9,Sheet2!$O$3:$O$9,,-1)</f>
        <v>1.25</v>
      </c>
      <c r="G157">
        <f>_xlfn.XLOOKUP(insurance_policy_data!L283,Sheet2!$Q$3:$Q$4,Sheet2!$R$3:$R$4)</f>
        <v>1.5</v>
      </c>
      <c r="H157">
        <f>_xlfn.XLOOKUP(insurance_policy_data!N283,Sheet2!$T$3:$T$5,Sheet2!$U$3:$U$5,,-1)</f>
        <v>1.1000000000000001</v>
      </c>
      <c r="I157">
        <f t="shared" si="2"/>
        <v>349.38749999999999</v>
      </c>
    </row>
    <row r="158" spans="2:9" x14ac:dyDescent="0.3">
      <c r="B158">
        <f>_xlfn.XLOOKUP(insurance_policy_data!B289,Sheet2!$B$3:$B$8,Sheet2!$C$3:$C$8,,-1)</f>
        <v>1.27</v>
      </c>
      <c r="C158">
        <f>_xlfn.XLOOKUP(insurance_policy_data!I289,Sheet2!$E$3:$E$7,Sheet2!$F$3:$F$7,,-1)</f>
        <v>1.25</v>
      </c>
      <c r="D158">
        <f>_xlfn.XLOOKUP(insurance_policy_data!P289,Sheet2!$H$3:$H$5,Sheet2!$I$3:$I$5,,-1)</f>
        <v>1</v>
      </c>
      <c r="E158">
        <f>_xlfn.XLOOKUP(insurance_policy_data!M289,Sheet2!$K$3:$K$7,Sheet2!$L$3:$L$7,,-1)</f>
        <v>1.39</v>
      </c>
      <c r="F158">
        <f>_xlfn.XLOOKUP(insurance_policy_data!H289,Sheet2!$N$3:$N$9,Sheet2!$O$3:$O$9,,-1)</f>
        <v>1.1000000000000001</v>
      </c>
      <c r="G158">
        <f>_xlfn.XLOOKUP(insurance_policy_data!L289,Sheet2!$Q$3:$Q$4,Sheet2!$R$3:$R$4)</f>
        <v>1.5</v>
      </c>
      <c r="H158">
        <f>_xlfn.XLOOKUP(insurance_policy_data!N289,Sheet2!$T$3:$T$5,Sheet2!$U$3:$U$5,,-1)</f>
        <v>1.2</v>
      </c>
      <c r="I158">
        <f t="shared" si="2"/>
        <v>349.5293999999999</v>
      </c>
    </row>
    <row r="159" spans="2:9" x14ac:dyDescent="0.3">
      <c r="B159">
        <f>_xlfn.XLOOKUP(insurance_policy_data!B7,Sheet2!$B$3:$B$8,Sheet2!$C$3:$C$8,,-1)</f>
        <v>1.27</v>
      </c>
      <c r="C159">
        <f>_xlfn.XLOOKUP(insurance_policy_data!I7,Sheet2!$E$3:$E$7,Sheet2!$F$3:$F$7,,-1)</f>
        <v>1.25</v>
      </c>
      <c r="D159">
        <f>_xlfn.XLOOKUP(insurance_policy_data!P7,Sheet2!$H$3:$H$5,Sheet2!$I$3:$I$5,,-1)</f>
        <v>1</v>
      </c>
      <c r="E159">
        <f>_xlfn.XLOOKUP(insurance_policy_data!M7,Sheet2!$K$3:$K$7,Sheet2!$L$3:$L$7,,-1)</f>
        <v>1.26</v>
      </c>
      <c r="F159">
        <f>_xlfn.XLOOKUP(insurance_policy_data!H7,Sheet2!$N$3:$N$9,Sheet2!$O$3:$O$9,,-1)</f>
        <v>1.33</v>
      </c>
      <c r="G159">
        <f>_xlfn.XLOOKUP(insurance_policy_data!L7,Sheet2!$Q$3:$Q$4,Sheet2!$R$3:$R$4)</f>
        <v>1.5</v>
      </c>
      <c r="H159">
        <f>_xlfn.XLOOKUP(insurance_policy_data!N7,Sheet2!$T$3:$T$5,Sheet2!$U$3:$U$5,,-1)</f>
        <v>1.1000000000000001</v>
      </c>
      <c r="I159">
        <f t="shared" si="2"/>
        <v>351.16389000000004</v>
      </c>
    </row>
    <row r="160" spans="2:9" x14ac:dyDescent="0.3">
      <c r="B160">
        <f>_xlfn.XLOOKUP(insurance_policy_data!B174,Sheet2!$B$3:$B$8,Sheet2!$C$3:$C$8,,-1)</f>
        <v>1.34</v>
      </c>
      <c r="C160">
        <f>_xlfn.XLOOKUP(insurance_policy_data!I174,Sheet2!$E$3:$E$7,Sheet2!$F$3:$F$7,,-1)</f>
        <v>1.31</v>
      </c>
      <c r="D160">
        <f>_xlfn.XLOOKUP(insurance_policy_data!P174,Sheet2!$H$3:$H$5,Sheet2!$I$3:$I$5,,-1)</f>
        <v>1</v>
      </c>
      <c r="E160">
        <f>_xlfn.XLOOKUP(insurance_policy_data!M174,Sheet2!$K$3:$K$7,Sheet2!$L$3:$L$7,,-1)</f>
        <v>1.3</v>
      </c>
      <c r="F160">
        <f>_xlfn.XLOOKUP(insurance_policy_data!H174,Sheet2!$N$3:$N$9,Sheet2!$O$3:$O$9,,-1)</f>
        <v>1.29</v>
      </c>
      <c r="G160">
        <f>_xlfn.XLOOKUP(insurance_policy_data!L174,Sheet2!$Q$3:$Q$4,Sheet2!$R$3:$R$4)</f>
        <v>1.5</v>
      </c>
      <c r="H160">
        <f>_xlfn.XLOOKUP(insurance_policy_data!N174,Sheet2!$T$3:$T$5,Sheet2!$U$3:$U$5,,-1)</f>
        <v>1</v>
      </c>
      <c r="I160">
        <f t="shared" si="2"/>
        <v>353.25669600000003</v>
      </c>
    </row>
    <row r="161" spans="2:9" x14ac:dyDescent="0.3">
      <c r="B161">
        <f>_xlfn.XLOOKUP(insurance_policy_data!B216,Sheet2!$B$3:$B$8,Sheet2!$C$3:$C$8,,-1)</f>
        <v>1.21</v>
      </c>
      <c r="C161">
        <f>_xlfn.XLOOKUP(insurance_policy_data!I216,Sheet2!$E$3:$E$7,Sheet2!$F$3:$F$7,,-1)</f>
        <v>1.25</v>
      </c>
      <c r="D161">
        <f>_xlfn.XLOOKUP(insurance_policy_data!P216,Sheet2!$H$3:$H$5,Sheet2!$I$3:$I$5,,-1)</f>
        <v>1</v>
      </c>
      <c r="E161">
        <f>_xlfn.XLOOKUP(insurance_policy_data!M216,Sheet2!$K$3:$K$7,Sheet2!$L$3:$L$7,,-1)</f>
        <v>1.3</v>
      </c>
      <c r="F161">
        <f>_xlfn.XLOOKUP(insurance_policy_data!H216,Sheet2!$N$3:$N$9,Sheet2!$O$3:$O$9,,-1)</f>
        <v>1.25</v>
      </c>
      <c r="G161">
        <f>_xlfn.XLOOKUP(insurance_policy_data!L216,Sheet2!$Q$3:$Q$4,Sheet2!$R$3:$R$4)</f>
        <v>1.5</v>
      </c>
      <c r="H161">
        <f>_xlfn.XLOOKUP(insurance_policy_data!N216,Sheet2!$T$3:$T$5,Sheet2!$U$3:$U$5,,-1)</f>
        <v>1.2</v>
      </c>
      <c r="I161">
        <f t="shared" si="2"/>
        <v>353.92499999999995</v>
      </c>
    </row>
    <row r="162" spans="2:9" x14ac:dyDescent="0.3">
      <c r="B162">
        <f>_xlfn.XLOOKUP(insurance_policy_data!B210,Sheet2!$B$3:$B$8,Sheet2!$C$3:$C$8,,-1)</f>
        <v>1.35</v>
      </c>
      <c r="C162">
        <f>_xlfn.XLOOKUP(insurance_policy_data!I210,Sheet2!$E$3:$E$7,Sheet2!$F$3:$F$7,,-1)</f>
        <v>1.31</v>
      </c>
      <c r="D162">
        <f>_xlfn.XLOOKUP(insurance_policy_data!P210,Sheet2!$H$3:$H$5,Sheet2!$I$3:$I$5,,-1)</f>
        <v>1</v>
      </c>
      <c r="E162">
        <f>_xlfn.XLOOKUP(insurance_policy_data!M210,Sheet2!$K$3:$K$7,Sheet2!$L$3:$L$7,,-1)</f>
        <v>1.39</v>
      </c>
      <c r="F162">
        <f>_xlfn.XLOOKUP(insurance_policy_data!H210,Sheet2!$N$3:$N$9,Sheet2!$O$3:$O$9,,-1)</f>
        <v>1.2</v>
      </c>
      <c r="G162">
        <f>_xlfn.XLOOKUP(insurance_policy_data!L210,Sheet2!$Q$3:$Q$4,Sheet2!$R$3:$R$4)</f>
        <v>1.5</v>
      </c>
      <c r="H162">
        <f>_xlfn.XLOOKUP(insurance_policy_data!N210,Sheet2!$T$3:$T$5,Sheet2!$U$3:$U$5,,-1)</f>
        <v>1</v>
      </c>
      <c r="I162">
        <f t="shared" si="2"/>
        <v>353.98296000000005</v>
      </c>
    </row>
    <row r="163" spans="2:9" x14ac:dyDescent="0.3">
      <c r="B163">
        <f>_xlfn.XLOOKUP(insurance_policy_data!B156,Sheet2!$B$3:$B$8,Sheet2!$C$3:$C$8,,-1)</f>
        <v>1.21</v>
      </c>
      <c r="C163">
        <f>_xlfn.XLOOKUP(insurance_policy_data!I156,Sheet2!$E$3:$E$7,Sheet2!$F$3:$F$7,,-1)</f>
        <v>1.25</v>
      </c>
      <c r="D163">
        <f>_xlfn.XLOOKUP(insurance_policy_data!P156,Sheet2!$H$3:$H$5,Sheet2!$I$3:$I$5,,-1)</f>
        <v>1</v>
      </c>
      <c r="E163">
        <f>_xlfn.XLOOKUP(insurance_policy_data!M156,Sheet2!$K$3:$K$7,Sheet2!$L$3:$L$7,,-1)</f>
        <v>1.26</v>
      </c>
      <c r="F163">
        <f>_xlfn.XLOOKUP(insurance_policy_data!H156,Sheet2!$N$3:$N$9,Sheet2!$O$3:$O$9,,-1)</f>
        <v>1.29</v>
      </c>
      <c r="G163">
        <f>_xlfn.XLOOKUP(insurance_policy_data!L156,Sheet2!$Q$3:$Q$4,Sheet2!$R$3:$R$4)</f>
        <v>1.5</v>
      </c>
      <c r="H163">
        <f>_xlfn.XLOOKUP(insurance_policy_data!N156,Sheet2!$T$3:$T$5,Sheet2!$U$3:$U$5,,-1)</f>
        <v>1.2</v>
      </c>
      <c r="I163">
        <f t="shared" si="2"/>
        <v>354.01211999999998</v>
      </c>
    </row>
    <row r="164" spans="2:9" x14ac:dyDescent="0.3">
      <c r="B164">
        <f>_xlfn.XLOOKUP(insurance_policy_data!B232,Sheet2!$B$3:$B$8,Sheet2!$C$3:$C$8,,-1)</f>
        <v>1.21</v>
      </c>
      <c r="C164">
        <f>_xlfn.XLOOKUP(insurance_policy_data!I232,Sheet2!$E$3:$E$7,Sheet2!$F$3:$F$7,,-1)</f>
        <v>1.25</v>
      </c>
      <c r="D164">
        <f>_xlfn.XLOOKUP(insurance_policy_data!P232,Sheet2!$H$3:$H$5,Sheet2!$I$3:$I$5,,-1)</f>
        <v>1</v>
      </c>
      <c r="E164">
        <f>_xlfn.XLOOKUP(insurance_policy_data!M232,Sheet2!$K$3:$K$7,Sheet2!$L$3:$L$7,,-1)</f>
        <v>1.39</v>
      </c>
      <c r="F164">
        <f>_xlfn.XLOOKUP(insurance_policy_data!H232,Sheet2!$N$3:$N$9,Sheet2!$O$3:$O$9,,-1)</f>
        <v>1.29</v>
      </c>
      <c r="G164">
        <f>_xlfn.XLOOKUP(insurance_policy_data!L232,Sheet2!$Q$3:$Q$4,Sheet2!$R$3:$R$4)</f>
        <v>1.5</v>
      </c>
      <c r="H164">
        <f>_xlfn.XLOOKUP(insurance_policy_data!N232,Sheet2!$T$3:$T$5,Sheet2!$U$3:$U$5,,-1)</f>
        <v>1.1000000000000001</v>
      </c>
      <c r="I164">
        <f t="shared" si="2"/>
        <v>357.99241499999999</v>
      </c>
    </row>
    <row r="165" spans="2:9" x14ac:dyDescent="0.3">
      <c r="B165">
        <f>_xlfn.XLOOKUP(insurance_policy_data!B251,Sheet2!$B$3:$B$8,Sheet2!$C$3:$C$8,,-1)</f>
        <v>1.21</v>
      </c>
      <c r="C165">
        <f>_xlfn.XLOOKUP(insurance_policy_data!I251,Sheet2!$E$3:$E$7,Sheet2!$F$3:$F$7,,-1)</f>
        <v>1.25</v>
      </c>
      <c r="D165">
        <f>_xlfn.XLOOKUP(insurance_policy_data!P251,Sheet2!$H$3:$H$5,Sheet2!$I$3:$I$5,,-1)</f>
        <v>1</v>
      </c>
      <c r="E165">
        <f>_xlfn.XLOOKUP(insurance_policy_data!M251,Sheet2!$K$3:$K$7,Sheet2!$L$3:$L$7,,-1)</f>
        <v>1.4</v>
      </c>
      <c r="F165">
        <f>_xlfn.XLOOKUP(insurance_policy_data!H251,Sheet2!$N$3:$N$9,Sheet2!$O$3:$O$9,,-1)</f>
        <v>1.29</v>
      </c>
      <c r="G165">
        <f>_xlfn.XLOOKUP(insurance_policy_data!L251,Sheet2!$Q$3:$Q$4,Sheet2!$R$3:$R$4)</f>
        <v>1.5</v>
      </c>
      <c r="H165">
        <f>_xlfn.XLOOKUP(insurance_policy_data!N251,Sheet2!$T$3:$T$5,Sheet2!$U$3:$U$5,,-1)</f>
        <v>1.1000000000000001</v>
      </c>
      <c r="I165">
        <f t="shared" si="2"/>
        <v>360.56790000000007</v>
      </c>
    </row>
    <row r="166" spans="2:9" x14ac:dyDescent="0.3">
      <c r="B166">
        <f>_xlfn.XLOOKUP(insurance_policy_data!B149,Sheet2!$B$3:$B$8,Sheet2!$C$3:$C$8,,-1)</f>
        <v>1.21</v>
      </c>
      <c r="C166">
        <f>_xlfn.XLOOKUP(insurance_policy_data!I149,Sheet2!$E$3:$E$7,Sheet2!$F$3:$F$7,,-1)</f>
        <v>1.25</v>
      </c>
      <c r="D166">
        <f>_xlfn.XLOOKUP(insurance_policy_data!P149,Sheet2!$H$3:$H$5,Sheet2!$I$3:$I$5,,-1)</f>
        <v>1.45</v>
      </c>
      <c r="E166">
        <f>_xlfn.XLOOKUP(insurance_policy_data!M149,Sheet2!$K$3:$K$7,Sheet2!$L$3:$L$7,,-1)</f>
        <v>1.26</v>
      </c>
      <c r="F166">
        <f>_xlfn.XLOOKUP(insurance_policy_data!H149,Sheet2!$N$3:$N$9,Sheet2!$O$3:$O$9,,-1)</f>
        <v>1.1000000000000001</v>
      </c>
      <c r="G166">
        <f>_xlfn.XLOOKUP(insurance_policy_data!L149,Sheet2!$Q$3:$Q$4,Sheet2!$R$3:$R$4)</f>
        <v>1.5</v>
      </c>
      <c r="H166">
        <f>_xlfn.XLOOKUP(insurance_policy_data!N149,Sheet2!$T$3:$T$5,Sheet2!$U$3:$U$5,,-1)</f>
        <v>1</v>
      </c>
      <c r="I166">
        <f t="shared" si="2"/>
        <v>364.76054999999997</v>
      </c>
    </row>
    <row r="167" spans="2:9" x14ac:dyDescent="0.3">
      <c r="B167">
        <f>_xlfn.XLOOKUP(insurance_policy_data!B172,Sheet2!$B$3:$B$8,Sheet2!$C$3:$C$8,,-1)</f>
        <v>1.21</v>
      </c>
      <c r="C167">
        <f>_xlfn.XLOOKUP(insurance_policy_data!I172,Sheet2!$E$3:$E$7,Sheet2!$F$3:$F$7,,-1)</f>
        <v>1.25</v>
      </c>
      <c r="D167">
        <f>_xlfn.XLOOKUP(insurance_policy_data!P172,Sheet2!$H$3:$H$5,Sheet2!$I$3:$I$5,,-1)</f>
        <v>1</v>
      </c>
      <c r="E167">
        <f>_xlfn.XLOOKUP(insurance_policy_data!M172,Sheet2!$K$3:$K$7,Sheet2!$L$3:$L$7,,-1)</f>
        <v>1.26</v>
      </c>
      <c r="F167">
        <f>_xlfn.XLOOKUP(insurance_policy_data!H172,Sheet2!$N$3:$N$9,Sheet2!$O$3:$O$9,,-1)</f>
        <v>1.33</v>
      </c>
      <c r="G167">
        <f>_xlfn.XLOOKUP(insurance_policy_data!L172,Sheet2!$Q$3:$Q$4,Sheet2!$R$3:$R$4)</f>
        <v>1.5</v>
      </c>
      <c r="H167">
        <f>_xlfn.XLOOKUP(insurance_policy_data!N172,Sheet2!$T$3:$T$5,Sheet2!$U$3:$U$5,,-1)</f>
        <v>1.2</v>
      </c>
      <c r="I167">
        <f t="shared" si="2"/>
        <v>364.98924</v>
      </c>
    </row>
    <row r="168" spans="2:9" x14ac:dyDescent="0.3">
      <c r="B168">
        <f>_xlfn.XLOOKUP(insurance_policy_data!B142,Sheet2!$B$3:$B$8,Sheet2!$C$3:$C$8,,-1)</f>
        <v>1.35</v>
      </c>
      <c r="C168">
        <f>_xlfn.XLOOKUP(insurance_policy_data!I142,Sheet2!$E$3:$E$7,Sheet2!$F$3:$F$7,,-1)</f>
        <v>1.25</v>
      </c>
      <c r="D168">
        <f>_xlfn.XLOOKUP(insurance_policy_data!P142,Sheet2!$H$3:$H$5,Sheet2!$I$3:$I$5,,-1)</f>
        <v>1</v>
      </c>
      <c r="E168">
        <f>_xlfn.XLOOKUP(insurance_policy_data!M142,Sheet2!$K$3:$K$7,Sheet2!$L$3:$L$7,,-1)</f>
        <v>1.4</v>
      </c>
      <c r="F168">
        <f>_xlfn.XLOOKUP(insurance_policy_data!H142,Sheet2!$N$3:$N$9,Sheet2!$O$3:$O$9,,-1)</f>
        <v>1.29</v>
      </c>
      <c r="G168">
        <f>_xlfn.XLOOKUP(insurance_policy_data!L142,Sheet2!$Q$3:$Q$4,Sheet2!$R$3:$R$4)</f>
        <v>1.5</v>
      </c>
      <c r="H168">
        <f>_xlfn.XLOOKUP(insurance_policy_data!N142,Sheet2!$T$3:$T$5,Sheet2!$U$3:$U$5,,-1)</f>
        <v>1</v>
      </c>
      <c r="I168">
        <f t="shared" si="2"/>
        <v>365.71500000000003</v>
      </c>
    </row>
    <row r="169" spans="2:9" x14ac:dyDescent="0.3">
      <c r="B169">
        <f>_xlfn.XLOOKUP(insurance_policy_data!B291,Sheet2!$B$3:$B$8,Sheet2!$C$3:$C$8,,-1)</f>
        <v>1.21</v>
      </c>
      <c r="C169">
        <f>_xlfn.XLOOKUP(insurance_policy_data!I291,Sheet2!$E$3:$E$7,Sheet2!$F$3:$F$7,,-1)</f>
        <v>1.25</v>
      </c>
      <c r="D169">
        <f>_xlfn.XLOOKUP(insurance_policy_data!P291,Sheet2!$H$3:$H$5,Sheet2!$I$3:$I$5,,-1)</f>
        <v>1</v>
      </c>
      <c r="E169">
        <f>_xlfn.XLOOKUP(insurance_policy_data!M291,Sheet2!$K$3:$K$7,Sheet2!$L$3:$L$7,,-1)</f>
        <v>1.39</v>
      </c>
      <c r="F169">
        <f>_xlfn.XLOOKUP(insurance_policy_data!H291,Sheet2!$N$3:$N$9,Sheet2!$O$3:$O$9,,-1)</f>
        <v>1.33</v>
      </c>
      <c r="G169">
        <f>_xlfn.XLOOKUP(insurance_policy_data!L291,Sheet2!$Q$3:$Q$4,Sheet2!$R$3:$R$4)</f>
        <v>1.5</v>
      </c>
      <c r="H169">
        <f>_xlfn.XLOOKUP(insurance_policy_data!N291,Sheet2!$T$3:$T$5,Sheet2!$U$3:$U$5,,-1)</f>
        <v>1.1000000000000001</v>
      </c>
      <c r="I169">
        <f t="shared" si="2"/>
        <v>369.09295500000007</v>
      </c>
    </row>
    <row r="170" spans="2:9" x14ac:dyDescent="0.3">
      <c r="B170">
        <f>_xlfn.XLOOKUP(insurance_policy_data!B103,Sheet2!$B$3:$B$8,Sheet2!$C$3:$C$8,,-1)</f>
        <v>1.21</v>
      </c>
      <c r="C170">
        <f>_xlfn.XLOOKUP(insurance_policy_data!I103,Sheet2!$E$3:$E$7,Sheet2!$F$3:$F$7,,-1)</f>
        <v>1.25</v>
      </c>
      <c r="D170">
        <f>_xlfn.XLOOKUP(insurance_policy_data!P103,Sheet2!$H$3:$H$5,Sheet2!$I$3:$I$5,,-1)</f>
        <v>1</v>
      </c>
      <c r="E170">
        <f>_xlfn.XLOOKUP(insurance_policy_data!M103,Sheet2!$K$3:$K$7,Sheet2!$L$3:$L$7,,-1)</f>
        <v>1.4</v>
      </c>
      <c r="F170">
        <f>_xlfn.XLOOKUP(insurance_policy_data!H103,Sheet2!$N$3:$N$9,Sheet2!$O$3:$O$9,,-1)</f>
        <v>1.33</v>
      </c>
      <c r="G170">
        <f>_xlfn.XLOOKUP(insurance_policy_data!L103,Sheet2!$Q$3:$Q$4,Sheet2!$R$3:$R$4)</f>
        <v>1.5</v>
      </c>
      <c r="H170">
        <f>_xlfn.XLOOKUP(insurance_policy_data!N103,Sheet2!$T$3:$T$5,Sheet2!$U$3:$U$5,,-1)</f>
        <v>1.1000000000000001</v>
      </c>
      <c r="I170">
        <f t="shared" si="2"/>
        <v>371.74829999999997</v>
      </c>
    </row>
    <row r="171" spans="2:9" x14ac:dyDescent="0.3">
      <c r="B171">
        <f>_xlfn.XLOOKUP(insurance_policy_data!B95,Sheet2!$B$3:$B$8,Sheet2!$C$3:$C$8,,-1)</f>
        <v>1.35</v>
      </c>
      <c r="C171">
        <f>_xlfn.XLOOKUP(insurance_policy_data!I95,Sheet2!$E$3:$E$7,Sheet2!$F$3:$F$7,,-1)</f>
        <v>1.31</v>
      </c>
      <c r="D171">
        <f>_xlfn.XLOOKUP(insurance_policy_data!P95,Sheet2!$H$3:$H$5,Sheet2!$I$3:$I$5,,-1)</f>
        <v>1</v>
      </c>
      <c r="E171">
        <f>_xlfn.XLOOKUP(insurance_policy_data!M95,Sheet2!$K$3:$K$7,Sheet2!$L$3:$L$7,,-1)</f>
        <v>1.3</v>
      </c>
      <c r="F171">
        <f>_xlfn.XLOOKUP(insurance_policy_data!H95,Sheet2!$N$3:$N$9,Sheet2!$O$3:$O$9,,-1)</f>
        <v>1.36</v>
      </c>
      <c r="G171">
        <f>_xlfn.XLOOKUP(insurance_policy_data!L95,Sheet2!$Q$3:$Q$4,Sheet2!$R$3:$R$4)</f>
        <v>1.5</v>
      </c>
      <c r="H171">
        <f>_xlfn.XLOOKUP(insurance_policy_data!N95,Sheet2!$T$3:$T$5,Sheet2!$U$3:$U$5,,-1)</f>
        <v>1</v>
      </c>
      <c r="I171">
        <f t="shared" si="2"/>
        <v>375.20496000000009</v>
      </c>
    </row>
    <row r="172" spans="2:9" x14ac:dyDescent="0.3">
      <c r="B172">
        <f>_xlfn.XLOOKUP(insurance_policy_data!B133,Sheet2!$B$3:$B$8,Sheet2!$C$3:$C$8,,-1)</f>
        <v>1.21</v>
      </c>
      <c r="C172">
        <f>_xlfn.XLOOKUP(insurance_policy_data!I133,Sheet2!$E$3:$E$7,Sheet2!$F$3:$F$7,,-1)</f>
        <v>1.25</v>
      </c>
      <c r="D172">
        <f>_xlfn.XLOOKUP(insurance_policy_data!P133,Sheet2!$H$3:$H$5,Sheet2!$I$3:$I$5,,-1)</f>
        <v>1</v>
      </c>
      <c r="E172">
        <f>_xlfn.XLOOKUP(insurance_policy_data!M133,Sheet2!$K$3:$K$7,Sheet2!$L$3:$L$7,,-1)</f>
        <v>1.39</v>
      </c>
      <c r="F172">
        <f>_xlfn.XLOOKUP(insurance_policy_data!H133,Sheet2!$N$3:$N$9,Sheet2!$O$3:$O$9,,-1)</f>
        <v>1.36</v>
      </c>
      <c r="G172">
        <f>_xlfn.XLOOKUP(insurance_policy_data!L133,Sheet2!$Q$3:$Q$4,Sheet2!$R$3:$R$4)</f>
        <v>1.5</v>
      </c>
      <c r="H172">
        <f>_xlfn.XLOOKUP(insurance_policy_data!N133,Sheet2!$T$3:$T$5,Sheet2!$U$3:$U$5,,-1)</f>
        <v>1.1000000000000001</v>
      </c>
      <c r="I172">
        <f t="shared" si="2"/>
        <v>377.41836000000006</v>
      </c>
    </row>
    <row r="173" spans="2:9" x14ac:dyDescent="0.3">
      <c r="B173">
        <f>_xlfn.XLOOKUP(insurance_policy_data!B255,Sheet2!$B$3:$B$8,Sheet2!$C$3:$C$8,,-1)</f>
        <v>1.35</v>
      </c>
      <c r="C173">
        <f>_xlfn.XLOOKUP(insurance_policy_data!I255,Sheet2!$E$3:$E$7,Sheet2!$F$3:$F$7,,-1)</f>
        <v>1.31</v>
      </c>
      <c r="D173">
        <f>_xlfn.XLOOKUP(insurance_policy_data!P255,Sheet2!$H$3:$H$5,Sheet2!$I$3:$I$5,,-1)</f>
        <v>1</v>
      </c>
      <c r="E173">
        <f>_xlfn.XLOOKUP(insurance_policy_data!M255,Sheet2!$K$3:$K$7,Sheet2!$L$3:$L$7,,-1)</f>
        <v>1.3</v>
      </c>
      <c r="F173">
        <f>_xlfn.XLOOKUP(insurance_policy_data!H255,Sheet2!$N$3:$N$9,Sheet2!$O$3:$O$9,,-1)</f>
        <v>1.25</v>
      </c>
      <c r="G173">
        <f>_xlfn.XLOOKUP(insurance_policy_data!L255,Sheet2!$Q$3:$Q$4,Sheet2!$R$3:$R$4)</f>
        <v>1.5</v>
      </c>
      <c r="H173">
        <f>_xlfn.XLOOKUP(insurance_policy_data!N255,Sheet2!$T$3:$T$5,Sheet2!$U$3:$U$5,,-1)</f>
        <v>1.1000000000000001</v>
      </c>
      <c r="I173">
        <f t="shared" si="2"/>
        <v>379.34325000000013</v>
      </c>
    </row>
    <row r="174" spans="2:9" x14ac:dyDescent="0.3">
      <c r="B174">
        <f>_xlfn.XLOOKUP(insurance_policy_data!B222,Sheet2!$B$3:$B$8,Sheet2!$C$3:$C$8,,-1)</f>
        <v>1.25</v>
      </c>
      <c r="C174">
        <f>_xlfn.XLOOKUP(insurance_policy_data!I222,Sheet2!$E$3:$E$7,Sheet2!$F$3:$F$7,,-1)</f>
        <v>1.3</v>
      </c>
      <c r="D174">
        <f>_xlfn.XLOOKUP(insurance_policy_data!P222,Sheet2!$H$3:$H$5,Sheet2!$I$3:$I$5,,-1)</f>
        <v>1</v>
      </c>
      <c r="E174">
        <f>_xlfn.XLOOKUP(insurance_policy_data!M222,Sheet2!$K$3:$K$7,Sheet2!$L$3:$L$7,,-1)</f>
        <v>1.26</v>
      </c>
      <c r="F174">
        <f>_xlfn.XLOOKUP(insurance_policy_data!H222,Sheet2!$N$3:$N$9,Sheet2!$O$3:$O$9,,-1)</f>
        <v>1.29</v>
      </c>
      <c r="G174">
        <f>_xlfn.XLOOKUP(insurance_policy_data!L222,Sheet2!$Q$3:$Q$4,Sheet2!$R$3:$R$4)</f>
        <v>1.5</v>
      </c>
      <c r="H174">
        <f>_xlfn.XLOOKUP(insurance_policy_data!N222,Sheet2!$T$3:$T$5,Sheet2!$U$3:$U$5,,-1)</f>
        <v>1.2</v>
      </c>
      <c r="I174">
        <f t="shared" si="2"/>
        <v>380.34359999999992</v>
      </c>
    </row>
    <row r="175" spans="2:9" x14ac:dyDescent="0.3">
      <c r="B175">
        <f>_xlfn.XLOOKUP(insurance_policy_data!B82,Sheet2!$B$3:$B$8,Sheet2!$C$3:$C$8,,-1)</f>
        <v>1.34</v>
      </c>
      <c r="C175">
        <f>_xlfn.XLOOKUP(insurance_policy_data!I82,Sheet2!$E$3:$E$7,Sheet2!$F$3:$F$7,,-1)</f>
        <v>1.31</v>
      </c>
      <c r="D175">
        <f>_xlfn.XLOOKUP(insurance_policy_data!P82,Sheet2!$H$3:$H$5,Sheet2!$I$3:$I$5,,-1)</f>
        <v>1</v>
      </c>
      <c r="E175">
        <f>_xlfn.XLOOKUP(insurance_policy_data!M82,Sheet2!$K$3:$K$7,Sheet2!$L$3:$L$7,,-1)</f>
        <v>1.4</v>
      </c>
      <c r="F175">
        <f>_xlfn.XLOOKUP(insurance_policy_data!H82,Sheet2!$N$3:$N$9,Sheet2!$O$3:$O$9,,-1)</f>
        <v>1.29</v>
      </c>
      <c r="G175">
        <f>_xlfn.XLOOKUP(insurance_policy_data!L82,Sheet2!$Q$3:$Q$4,Sheet2!$R$3:$R$4)</f>
        <v>1.5</v>
      </c>
      <c r="H175">
        <f>_xlfn.XLOOKUP(insurance_policy_data!N82,Sheet2!$T$3:$T$5,Sheet2!$U$3:$U$5,,-1)</f>
        <v>1</v>
      </c>
      <c r="I175">
        <f t="shared" si="2"/>
        <v>380.43028800000002</v>
      </c>
    </row>
    <row r="176" spans="2:9" x14ac:dyDescent="0.3">
      <c r="B176">
        <f>_xlfn.XLOOKUP(insurance_policy_data!B80,Sheet2!$B$3:$B$8,Sheet2!$C$3:$C$8,,-1)</f>
        <v>1.21</v>
      </c>
      <c r="C176">
        <f>_xlfn.XLOOKUP(insurance_policy_data!I80,Sheet2!$E$3:$E$7,Sheet2!$F$3:$F$7,,-1)</f>
        <v>1.25</v>
      </c>
      <c r="D176">
        <f>_xlfn.XLOOKUP(insurance_policy_data!P80,Sheet2!$H$3:$H$5,Sheet2!$I$3:$I$5,,-1)</f>
        <v>1</v>
      </c>
      <c r="E176">
        <f>_xlfn.XLOOKUP(insurance_policy_data!M80,Sheet2!$K$3:$K$7,Sheet2!$L$3:$L$7,,-1)</f>
        <v>1.4</v>
      </c>
      <c r="F176">
        <f>_xlfn.XLOOKUP(insurance_policy_data!H80,Sheet2!$N$3:$N$9,Sheet2!$O$3:$O$9,,-1)</f>
        <v>1.25</v>
      </c>
      <c r="G176">
        <f>_xlfn.XLOOKUP(insurance_policy_data!L80,Sheet2!$Q$3:$Q$4,Sheet2!$R$3:$R$4)</f>
        <v>1.5</v>
      </c>
      <c r="H176">
        <f>_xlfn.XLOOKUP(insurance_policy_data!N80,Sheet2!$T$3:$T$5,Sheet2!$U$3:$U$5,,-1)</f>
        <v>1.2</v>
      </c>
      <c r="I176">
        <f t="shared" si="2"/>
        <v>381.15</v>
      </c>
    </row>
    <row r="177" spans="2:9" x14ac:dyDescent="0.3">
      <c r="B177">
        <f>_xlfn.XLOOKUP(insurance_policy_data!B62,Sheet2!$B$3:$B$8,Sheet2!$C$3:$C$8,,-1)</f>
        <v>1.34</v>
      </c>
      <c r="C177">
        <f>_xlfn.XLOOKUP(insurance_policy_data!I62,Sheet2!$E$3:$E$7,Sheet2!$F$3:$F$7,,-1)</f>
        <v>1.3</v>
      </c>
      <c r="D177">
        <f>_xlfn.XLOOKUP(insurance_policy_data!P62,Sheet2!$H$3:$H$5,Sheet2!$I$3:$I$5,,-1)</f>
        <v>1</v>
      </c>
      <c r="E177">
        <f>_xlfn.XLOOKUP(insurance_policy_data!M62,Sheet2!$K$3:$K$7,Sheet2!$L$3:$L$7,,-1)</f>
        <v>1.39</v>
      </c>
      <c r="F177">
        <f>_xlfn.XLOOKUP(insurance_policy_data!H62,Sheet2!$N$3:$N$9,Sheet2!$O$3:$O$9,,-1)</f>
        <v>1.2</v>
      </c>
      <c r="G177">
        <f>_xlfn.XLOOKUP(insurance_policy_data!L62,Sheet2!$Q$3:$Q$4,Sheet2!$R$3:$R$4)</f>
        <v>1.5</v>
      </c>
      <c r="H177">
        <f>_xlfn.XLOOKUP(insurance_policy_data!N62,Sheet2!$T$3:$T$5,Sheet2!$U$3:$U$5,,-1)</f>
        <v>1.1000000000000001</v>
      </c>
      <c r="I177">
        <f t="shared" si="2"/>
        <v>383.54659200000003</v>
      </c>
    </row>
    <row r="178" spans="2:9" x14ac:dyDescent="0.3">
      <c r="B178">
        <f>_xlfn.XLOOKUP(insurance_policy_data!B278,Sheet2!$B$3:$B$8,Sheet2!$C$3:$C$8,,-1)</f>
        <v>1.21</v>
      </c>
      <c r="C178">
        <f>_xlfn.XLOOKUP(insurance_policy_data!I278,Sheet2!$E$3:$E$7,Sheet2!$F$3:$F$7,,-1)</f>
        <v>1.25</v>
      </c>
      <c r="D178">
        <f>_xlfn.XLOOKUP(insurance_policy_data!P278,Sheet2!$H$3:$H$5,Sheet2!$I$3:$I$5,,-1)</f>
        <v>1</v>
      </c>
      <c r="E178">
        <f>_xlfn.XLOOKUP(insurance_policy_data!M278,Sheet2!$K$3:$K$7,Sheet2!$L$3:$L$7,,-1)</f>
        <v>1.3</v>
      </c>
      <c r="F178">
        <f>_xlfn.XLOOKUP(insurance_policy_data!H278,Sheet2!$N$3:$N$9,Sheet2!$O$3:$O$9,,-1)</f>
        <v>1.36</v>
      </c>
      <c r="G178">
        <f>_xlfn.XLOOKUP(insurance_policy_data!L278,Sheet2!$Q$3:$Q$4,Sheet2!$R$3:$R$4)</f>
        <v>1.5</v>
      </c>
      <c r="H178">
        <f>_xlfn.XLOOKUP(insurance_policy_data!N278,Sheet2!$T$3:$T$5,Sheet2!$U$3:$U$5,,-1)</f>
        <v>1.2</v>
      </c>
      <c r="I178">
        <f t="shared" si="2"/>
        <v>385.07040000000006</v>
      </c>
    </row>
    <row r="179" spans="2:9" x14ac:dyDescent="0.3">
      <c r="B179">
        <f>_xlfn.XLOOKUP(insurance_policy_data!B141,Sheet2!$B$3:$B$8,Sheet2!$C$3:$C$8,,-1)</f>
        <v>1.28</v>
      </c>
      <c r="C179">
        <f>_xlfn.XLOOKUP(insurance_policy_data!I141,Sheet2!$E$3:$E$7,Sheet2!$F$3:$F$7,,-1)</f>
        <v>1.25</v>
      </c>
      <c r="D179">
        <f>_xlfn.XLOOKUP(insurance_policy_data!P141,Sheet2!$H$3:$H$5,Sheet2!$I$3:$I$5,,-1)</f>
        <v>1</v>
      </c>
      <c r="E179">
        <f>_xlfn.XLOOKUP(insurance_policy_data!M141,Sheet2!$K$3:$K$7,Sheet2!$L$3:$L$7,,-1)</f>
        <v>1.26</v>
      </c>
      <c r="F179">
        <f>_xlfn.XLOOKUP(insurance_policy_data!H141,Sheet2!$N$3:$N$9,Sheet2!$O$3:$O$9,,-1)</f>
        <v>1.33</v>
      </c>
      <c r="G179">
        <f>_xlfn.XLOOKUP(insurance_policy_data!L141,Sheet2!$Q$3:$Q$4,Sheet2!$R$3:$R$4)</f>
        <v>1.5</v>
      </c>
      <c r="H179">
        <f>_xlfn.XLOOKUP(insurance_policy_data!N141,Sheet2!$T$3:$T$5,Sheet2!$U$3:$U$5,,-1)</f>
        <v>1.2</v>
      </c>
      <c r="I179">
        <f t="shared" si="2"/>
        <v>386.10431999999997</v>
      </c>
    </row>
    <row r="180" spans="2:9" x14ac:dyDescent="0.3">
      <c r="B180">
        <f>_xlfn.XLOOKUP(insurance_policy_data!B116,Sheet2!$B$3:$B$8,Sheet2!$C$3:$C$8,,-1)</f>
        <v>1.34</v>
      </c>
      <c r="C180">
        <f>_xlfn.XLOOKUP(insurance_policy_data!I116,Sheet2!$E$3:$E$7,Sheet2!$F$3:$F$7,,-1)</f>
        <v>1.3</v>
      </c>
      <c r="D180">
        <f>_xlfn.XLOOKUP(insurance_policy_data!P116,Sheet2!$H$3:$H$5,Sheet2!$I$3:$I$5,,-1)</f>
        <v>1</v>
      </c>
      <c r="E180">
        <f>_xlfn.XLOOKUP(insurance_policy_data!M116,Sheet2!$K$3:$K$7,Sheet2!$L$3:$L$7,,-1)</f>
        <v>1.39</v>
      </c>
      <c r="F180">
        <f>_xlfn.XLOOKUP(insurance_policy_data!H116,Sheet2!$N$3:$N$9,Sheet2!$O$3:$O$9,,-1)</f>
        <v>1.33</v>
      </c>
      <c r="G180">
        <f>_xlfn.XLOOKUP(insurance_policy_data!L116,Sheet2!$Q$3:$Q$4,Sheet2!$R$3:$R$4)</f>
        <v>1.5</v>
      </c>
      <c r="H180">
        <f>_xlfn.XLOOKUP(insurance_policy_data!N116,Sheet2!$T$3:$T$5,Sheet2!$U$3:$U$5,,-1)</f>
        <v>1</v>
      </c>
      <c r="I180">
        <f t="shared" si="2"/>
        <v>386.45224800000005</v>
      </c>
    </row>
    <row r="181" spans="2:9" x14ac:dyDescent="0.3">
      <c r="B181">
        <f>_xlfn.XLOOKUP(insurance_policy_data!B315,Sheet2!$B$3:$B$8,Sheet2!$C$3:$C$8,,-1)</f>
        <v>1.27</v>
      </c>
      <c r="C181">
        <f>_xlfn.XLOOKUP(insurance_policy_data!I315,Sheet2!$E$3:$E$7,Sheet2!$F$3:$F$7,,-1)</f>
        <v>1.25</v>
      </c>
      <c r="D181">
        <f>_xlfn.XLOOKUP(insurance_policy_data!P315,Sheet2!$H$3:$H$5,Sheet2!$I$3:$I$5,,-1)</f>
        <v>1</v>
      </c>
      <c r="E181">
        <f>_xlfn.XLOOKUP(insurance_policy_data!M315,Sheet2!$K$3:$K$7,Sheet2!$L$3:$L$7,,-1)</f>
        <v>1.39</v>
      </c>
      <c r="F181">
        <f>_xlfn.XLOOKUP(insurance_policy_data!H315,Sheet2!$N$3:$N$9,Sheet2!$O$3:$O$9,,-1)</f>
        <v>1.33</v>
      </c>
      <c r="G181">
        <f>_xlfn.XLOOKUP(insurance_policy_data!L315,Sheet2!$Q$3:$Q$4,Sheet2!$R$3:$R$4)</f>
        <v>1.5</v>
      </c>
      <c r="H181">
        <f>_xlfn.XLOOKUP(insurance_policy_data!N315,Sheet2!$T$3:$T$5,Sheet2!$U$3:$U$5,,-1)</f>
        <v>1.1000000000000001</v>
      </c>
      <c r="I181">
        <f t="shared" si="2"/>
        <v>387.39508500000005</v>
      </c>
    </row>
    <row r="182" spans="2:9" x14ac:dyDescent="0.3">
      <c r="B182">
        <f>_xlfn.XLOOKUP(insurance_policy_data!B188,Sheet2!$B$3:$B$8,Sheet2!$C$3:$C$8,,-1)</f>
        <v>1.34</v>
      </c>
      <c r="C182">
        <f>_xlfn.XLOOKUP(insurance_policy_data!I188,Sheet2!$E$3:$E$7,Sheet2!$F$3:$F$7,,-1)</f>
        <v>1.3</v>
      </c>
      <c r="D182">
        <f>_xlfn.XLOOKUP(insurance_policy_data!P188,Sheet2!$H$3:$H$5,Sheet2!$I$3:$I$5,,-1)</f>
        <v>1</v>
      </c>
      <c r="E182">
        <f>_xlfn.XLOOKUP(insurance_policy_data!M188,Sheet2!$K$3:$K$7,Sheet2!$L$3:$L$7,,-1)</f>
        <v>1.4</v>
      </c>
      <c r="F182">
        <f>_xlfn.XLOOKUP(insurance_policy_data!H188,Sheet2!$N$3:$N$9,Sheet2!$O$3:$O$9,,-1)</f>
        <v>1.33</v>
      </c>
      <c r="G182">
        <f>_xlfn.XLOOKUP(insurance_policy_data!L188,Sheet2!$Q$3:$Q$4,Sheet2!$R$3:$R$4)</f>
        <v>1.5</v>
      </c>
      <c r="H182">
        <f>_xlfn.XLOOKUP(insurance_policy_data!N188,Sheet2!$T$3:$T$5,Sheet2!$U$3:$U$5,,-1)</f>
        <v>1</v>
      </c>
      <c r="I182">
        <f t="shared" si="2"/>
        <v>389.23248000000001</v>
      </c>
    </row>
    <row r="183" spans="2:9" x14ac:dyDescent="0.3">
      <c r="B183">
        <f>_xlfn.XLOOKUP(insurance_policy_data!B197,Sheet2!$B$3:$B$8,Sheet2!$C$3:$C$8,,-1)</f>
        <v>1.34</v>
      </c>
      <c r="C183">
        <f>_xlfn.XLOOKUP(insurance_policy_data!I197,Sheet2!$E$3:$E$7,Sheet2!$F$3:$F$7,,-1)</f>
        <v>1.3</v>
      </c>
      <c r="D183">
        <f>_xlfn.XLOOKUP(insurance_policy_data!P197,Sheet2!$H$3:$H$5,Sheet2!$I$3:$I$5,,-1)</f>
        <v>1</v>
      </c>
      <c r="E183">
        <f>_xlfn.XLOOKUP(insurance_policy_data!M197,Sheet2!$K$3:$K$7,Sheet2!$L$3:$L$7,,-1)</f>
        <v>1.4</v>
      </c>
      <c r="F183">
        <f>_xlfn.XLOOKUP(insurance_policy_data!H197,Sheet2!$N$3:$N$9,Sheet2!$O$3:$O$9,,-1)</f>
        <v>1.33</v>
      </c>
      <c r="G183">
        <f>_xlfn.XLOOKUP(insurance_policy_data!L197,Sheet2!$Q$3:$Q$4,Sheet2!$R$3:$R$4)</f>
        <v>1.5</v>
      </c>
      <c r="H183">
        <f>_xlfn.XLOOKUP(insurance_policy_data!N197,Sheet2!$T$3:$T$5,Sheet2!$U$3:$U$5,,-1)</f>
        <v>1</v>
      </c>
      <c r="I183">
        <f t="shared" si="2"/>
        <v>389.23248000000001</v>
      </c>
    </row>
    <row r="184" spans="2:9" x14ac:dyDescent="0.3">
      <c r="B184">
        <f>_xlfn.XLOOKUP(insurance_policy_data!B72,Sheet2!$B$3:$B$8,Sheet2!$C$3:$C$8,,-1)</f>
        <v>1.25</v>
      </c>
      <c r="C184">
        <f>_xlfn.XLOOKUP(insurance_policy_data!I72,Sheet2!$E$3:$E$7,Sheet2!$F$3:$F$7,,-1)</f>
        <v>1.3</v>
      </c>
      <c r="D184">
        <f>_xlfn.XLOOKUP(insurance_policy_data!P72,Sheet2!$H$3:$H$5,Sheet2!$I$3:$I$5,,-1)</f>
        <v>1</v>
      </c>
      <c r="E184">
        <f>_xlfn.XLOOKUP(insurance_policy_data!M72,Sheet2!$K$3:$K$7,Sheet2!$L$3:$L$7,,-1)</f>
        <v>1.3</v>
      </c>
      <c r="F184">
        <f>_xlfn.XLOOKUP(insurance_policy_data!H72,Sheet2!$N$3:$N$9,Sheet2!$O$3:$O$9,,-1)</f>
        <v>1.29</v>
      </c>
      <c r="G184">
        <f>_xlfn.XLOOKUP(insurance_policy_data!L72,Sheet2!$Q$3:$Q$4,Sheet2!$R$3:$R$4)</f>
        <v>1.5</v>
      </c>
      <c r="H184">
        <f>_xlfn.XLOOKUP(insurance_policy_data!N72,Sheet2!$T$3:$T$5,Sheet2!$U$3:$U$5,,-1)</f>
        <v>1.2</v>
      </c>
      <c r="I184">
        <f t="shared" si="2"/>
        <v>392.41800000000006</v>
      </c>
    </row>
    <row r="185" spans="2:9" x14ac:dyDescent="0.3">
      <c r="B185">
        <f>_xlfn.XLOOKUP(insurance_policy_data!B16,Sheet2!$B$3:$B$8,Sheet2!$C$3:$C$8,,-1)</f>
        <v>1.25</v>
      </c>
      <c r="C185">
        <f>_xlfn.XLOOKUP(insurance_policy_data!I16,Sheet2!$E$3:$E$7,Sheet2!$F$3:$F$7,,-1)</f>
        <v>1.3</v>
      </c>
      <c r="D185">
        <f>_xlfn.XLOOKUP(insurance_policy_data!P16,Sheet2!$H$3:$H$5,Sheet2!$I$3:$I$5,,-1)</f>
        <v>1</v>
      </c>
      <c r="E185">
        <f>_xlfn.XLOOKUP(insurance_policy_data!M16,Sheet2!$K$3:$K$7,Sheet2!$L$3:$L$7,,-1)</f>
        <v>1.4</v>
      </c>
      <c r="F185">
        <f>_xlfn.XLOOKUP(insurance_policy_data!H16,Sheet2!$N$3:$N$9,Sheet2!$O$3:$O$9,,-1)</f>
        <v>1.2</v>
      </c>
      <c r="G185">
        <f>_xlfn.XLOOKUP(insurance_policy_data!L16,Sheet2!$Q$3:$Q$4,Sheet2!$R$3:$R$4)</f>
        <v>1.5</v>
      </c>
      <c r="H185">
        <f>_xlfn.XLOOKUP(insurance_policy_data!N16,Sheet2!$T$3:$T$5,Sheet2!$U$3:$U$5,,-1)</f>
        <v>1.2</v>
      </c>
      <c r="I185">
        <f t="shared" si="2"/>
        <v>393.12</v>
      </c>
    </row>
    <row r="186" spans="2:9" x14ac:dyDescent="0.3">
      <c r="B186">
        <f>_xlfn.XLOOKUP(insurance_policy_data!B249,Sheet2!$B$3:$B$8,Sheet2!$C$3:$C$8,,-1)</f>
        <v>1.21</v>
      </c>
      <c r="C186">
        <f>_xlfn.XLOOKUP(insurance_policy_data!I249,Sheet2!$E$3:$E$7,Sheet2!$F$3:$F$7,,-1)</f>
        <v>1.25</v>
      </c>
      <c r="D186">
        <f>_xlfn.XLOOKUP(insurance_policy_data!P249,Sheet2!$H$3:$H$5,Sheet2!$I$3:$I$5,,-1)</f>
        <v>1</v>
      </c>
      <c r="E186">
        <f>_xlfn.XLOOKUP(insurance_policy_data!M249,Sheet2!$K$3:$K$7,Sheet2!$L$3:$L$7,,-1)</f>
        <v>1.4</v>
      </c>
      <c r="F186">
        <f>_xlfn.XLOOKUP(insurance_policy_data!H249,Sheet2!$N$3:$N$9,Sheet2!$O$3:$O$9,,-1)</f>
        <v>1.29</v>
      </c>
      <c r="G186">
        <f>_xlfn.XLOOKUP(insurance_policy_data!L249,Sheet2!$Q$3:$Q$4,Sheet2!$R$3:$R$4)</f>
        <v>1.5</v>
      </c>
      <c r="H186">
        <f>_xlfn.XLOOKUP(insurance_policy_data!N249,Sheet2!$T$3:$T$5,Sheet2!$U$3:$U$5,,-1)</f>
        <v>1.2</v>
      </c>
      <c r="I186">
        <f t="shared" si="2"/>
        <v>393.34679999999997</v>
      </c>
    </row>
    <row r="187" spans="2:9" x14ac:dyDescent="0.3">
      <c r="B187">
        <f>_xlfn.XLOOKUP(insurance_policy_data!B14,Sheet2!$B$3:$B$8,Sheet2!$C$3:$C$8,,-1)</f>
        <v>1.25</v>
      </c>
      <c r="C187">
        <f>_xlfn.XLOOKUP(insurance_policy_data!I14,Sheet2!$E$3:$E$7,Sheet2!$F$3:$F$7,,-1)</f>
        <v>1.25</v>
      </c>
      <c r="D187">
        <f>_xlfn.XLOOKUP(insurance_policy_data!P14,Sheet2!$H$3:$H$5,Sheet2!$I$3:$I$5,,-1)</f>
        <v>1</v>
      </c>
      <c r="E187">
        <f>_xlfn.XLOOKUP(insurance_policy_data!M14,Sheet2!$K$3:$K$7,Sheet2!$L$3:$L$7,,-1)</f>
        <v>1.4</v>
      </c>
      <c r="F187">
        <f>_xlfn.XLOOKUP(insurance_policy_data!H14,Sheet2!$N$3:$N$9,Sheet2!$O$3:$O$9,,-1)</f>
        <v>1.25</v>
      </c>
      <c r="G187">
        <f>_xlfn.XLOOKUP(insurance_policy_data!L14,Sheet2!$Q$3:$Q$4,Sheet2!$R$3:$R$4)</f>
        <v>1.5</v>
      </c>
      <c r="H187">
        <f>_xlfn.XLOOKUP(insurance_policy_data!N14,Sheet2!$T$3:$T$5,Sheet2!$U$3:$U$5,,-1)</f>
        <v>1.2</v>
      </c>
      <c r="I187">
        <f t="shared" si="2"/>
        <v>393.75</v>
      </c>
    </row>
    <row r="188" spans="2:9" x14ac:dyDescent="0.3">
      <c r="B188">
        <f>_xlfn.XLOOKUP(insurance_policy_data!B118,Sheet2!$B$3:$B$8,Sheet2!$C$3:$C$8,,-1)</f>
        <v>1.27</v>
      </c>
      <c r="C188">
        <f>_xlfn.XLOOKUP(insurance_policy_data!I118,Sheet2!$E$3:$E$7,Sheet2!$F$3:$F$7,,-1)</f>
        <v>1.25</v>
      </c>
      <c r="D188">
        <f>_xlfn.XLOOKUP(insurance_policy_data!P118,Sheet2!$H$3:$H$5,Sheet2!$I$3:$I$5,,-1)</f>
        <v>1</v>
      </c>
      <c r="E188">
        <f>_xlfn.XLOOKUP(insurance_policy_data!M118,Sheet2!$K$3:$K$7,Sheet2!$L$3:$L$7,,-1)</f>
        <v>1.3</v>
      </c>
      <c r="F188">
        <f>_xlfn.XLOOKUP(insurance_policy_data!H118,Sheet2!$N$3:$N$9,Sheet2!$O$3:$O$9,,-1)</f>
        <v>1.33</v>
      </c>
      <c r="G188">
        <f>_xlfn.XLOOKUP(insurance_policy_data!L118,Sheet2!$Q$3:$Q$4,Sheet2!$R$3:$R$4)</f>
        <v>1.5</v>
      </c>
      <c r="H188">
        <f>_xlfn.XLOOKUP(insurance_policy_data!N118,Sheet2!$T$3:$T$5,Sheet2!$U$3:$U$5,,-1)</f>
        <v>1.2</v>
      </c>
      <c r="I188">
        <f t="shared" si="2"/>
        <v>395.24939999999992</v>
      </c>
    </row>
    <row r="189" spans="2:9" x14ac:dyDescent="0.3">
      <c r="B189">
        <f>_xlfn.XLOOKUP(insurance_policy_data!B180,Sheet2!$B$3:$B$8,Sheet2!$C$3:$C$8,,-1)</f>
        <v>1.27</v>
      </c>
      <c r="C189">
        <f>_xlfn.XLOOKUP(insurance_policy_data!I180,Sheet2!$E$3:$E$7,Sheet2!$F$3:$F$7,,-1)</f>
        <v>1.25</v>
      </c>
      <c r="D189">
        <f>_xlfn.XLOOKUP(insurance_policy_data!P180,Sheet2!$H$3:$H$5,Sheet2!$I$3:$I$5,,-1)</f>
        <v>1</v>
      </c>
      <c r="E189">
        <f>_xlfn.XLOOKUP(insurance_policy_data!M180,Sheet2!$K$3:$K$7,Sheet2!$L$3:$L$7,,-1)</f>
        <v>1.39</v>
      </c>
      <c r="F189">
        <f>_xlfn.XLOOKUP(insurance_policy_data!H180,Sheet2!$N$3:$N$9,Sheet2!$O$3:$O$9,,-1)</f>
        <v>1.36</v>
      </c>
      <c r="G189">
        <f>_xlfn.XLOOKUP(insurance_policy_data!L180,Sheet2!$Q$3:$Q$4,Sheet2!$R$3:$R$4)</f>
        <v>1.5</v>
      </c>
      <c r="H189">
        <f>_xlfn.XLOOKUP(insurance_policy_data!N180,Sheet2!$T$3:$T$5,Sheet2!$U$3:$U$5,,-1)</f>
        <v>1.1000000000000001</v>
      </c>
      <c r="I189">
        <f t="shared" si="2"/>
        <v>396.13332000000003</v>
      </c>
    </row>
    <row r="190" spans="2:9" x14ac:dyDescent="0.3">
      <c r="B190">
        <f>_xlfn.XLOOKUP(insurance_policy_data!B46,Sheet2!$B$3:$B$8,Sheet2!$C$3:$C$8,,-1)</f>
        <v>1.21</v>
      </c>
      <c r="C190">
        <f>_xlfn.XLOOKUP(insurance_policy_data!I46,Sheet2!$E$3:$E$7,Sheet2!$F$3:$F$7,,-1)</f>
        <v>1.25</v>
      </c>
      <c r="D190">
        <f>_xlfn.XLOOKUP(insurance_policy_data!P46,Sheet2!$H$3:$H$5,Sheet2!$I$3:$I$5,,-1)</f>
        <v>1.45</v>
      </c>
      <c r="E190">
        <f>_xlfn.XLOOKUP(insurance_policy_data!M46,Sheet2!$K$3:$K$7,Sheet2!$L$3:$L$7,,-1)</f>
        <v>1.39</v>
      </c>
      <c r="F190">
        <f>_xlfn.XLOOKUP(insurance_policy_data!H46,Sheet2!$N$3:$N$9,Sheet2!$O$3:$O$9,,-1)</f>
        <v>1.1000000000000001</v>
      </c>
      <c r="G190">
        <f>_xlfn.XLOOKUP(insurance_policy_data!L46,Sheet2!$Q$3:$Q$4,Sheet2!$R$3:$R$4)</f>
        <v>1.5</v>
      </c>
      <c r="H190">
        <f>_xlfn.XLOOKUP(insurance_policy_data!N46,Sheet2!$T$3:$T$5,Sheet2!$U$3:$U$5,,-1)</f>
        <v>1</v>
      </c>
      <c r="I190">
        <f t="shared" si="2"/>
        <v>402.39457500000003</v>
      </c>
    </row>
    <row r="191" spans="2:9" x14ac:dyDescent="0.3">
      <c r="B191">
        <f>_xlfn.XLOOKUP(insurance_policy_data!B199,Sheet2!$B$3:$B$8,Sheet2!$C$3:$C$8,,-1)</f>
        <v>1.21</v>
      </c>
      <c r="C191">
        <f>_xlfn.XLOOKUP(insurance_policy_data!I199,Sheet2!$E$3:$E$7,Sheet2!$F$3:$F$7,,-1)</f>
        <v>1.25</v>
      </c>
      <c r="D191">
        <f>_xlfn.XLOOKUP(insurance_policy_data!P199,Sheet2!$H$3:$H$5,Sheet2!$I$3:$I$5,,-1)</f>
        <v>1.45</v>
      </c>
      <c r="E191">
        <f>_xlfn.XLOOKUP(insurance_policy_data!M199,Sheet2!$K$3:$K$7,Sheet2!$L$3:$L$7,,-1)</f>
        <v>1.39</v>
      </c>
      <c r="F191">
        <f>_xlfn.XLOOKUP(insurance_policy_data!H199,Sheet2!$N$3:$N$9,Sheet2!$O$3:$O$9,,-1)</f>
        <v>1.1000000000000001</v>
      </c>
      <c r="G191">
        <f>_xlfn.XLOOKUP(insurance_policy_data!L199,Sheet2!$Q$3:$Q$4,Sheet2!$R$3:$R$4)</f>
        <v>1.5</v>
      </c>
      <c r="H191">
        <f>_xlfn.XLOOKUP(insurance_policy_data!N199,Sheet2!$T$3:$T$5,Sheet2!$U$3:$U$5,,-1)</f>
        <v>1</v>
      </c>
      <c r="I191">
        <f t="shared" si="2"/>
        <v>402.39457500000003</v>
      </c>
    </row>
    <row r="192" spans="2:9" x14ac:dyDescent="0.3">
      <c r="B192">
        <f>_xlfn.XLOOKUP(insurance_policy_data!B213,Sheet2!$B$3:$B$8,Sheet2!$C$3:$C$8,,-1)</f>
        <v>1.25</v>
      </c>
      <c r="C192">
        <f>_xlfn.XLOOKUP(insurance_policy_data!I213,Sheet2!$E$3:$E$7,Sheet2!$F$3:$F$7,,-1)</f>
        <v>1.25</v>
      </c>
      <c r="D192">
        <f>_xlfn.XLOOKUP(insurance_policy_data!P213,Sheet2!$H$3:$H$5,Sheet2!$I$3:$I$5,,-1)</f>
        <v>1</v>
      </c>
      <c r="E192">
        <f>_xlfn.XLOOKUP(insurance_policy_data!M213,Sheet2!$K$3:$K$7,Sheet2!$L$3:$L$7,,-1)</f>
        <v>1.39</v>
      </c>
      <c r="F192">
        <f>_xlfn.XLOOKUP(insurance_policy_data!H213,Sheet2!$N$3:$N$9,Sheet2!$O$3:$O$9,,-1)</f>
        <v>1.29</v>
      </c>
      <c r="G192">
        <f>_xlfn.XLOOKUP(insurance_policy_data!L213,Sheet2!$Q$3:$Q$4,Sheet2!$R$3:$R$4)</f>
        <v>1.5</v>
      </c>
      <c r="H192">
        <f>_xlfn.XLOOKUP(insurance_policy_data!N213,Sheet2!$T$3:$T$5,Sheet2!$U$3:$U$5,,-1)</f>
        <v>1.2</v>
      </c>
      <c r="I192">
        <f t="shared" si="2"/>
        <v>403.44750000000005</v>
      </c>
    </row>
    <row r="193" spans="2:9" x14ac:dyDescent="0.3">
      <c r="B193">
        <f>_xlfn.XLOOKUP(insurance_policy_data!B56,Sheet2!$B$3:$B$8,Sheet2!$C$3:$C$8,,-1)</f>
        <v>1.21</v>
      </c>
      <c r="C193">
        <f>_xlfn.XLOOKUP(insurance_policy_data!I56,Sheet2!$E$3:$E$7,Sheet2!$F$3:$F$7,,-1)</f>
        <v>1.25</v>
      </c>
      <c r="D193">
        <f>_xlfn.XLOOKUP(insurance_policy_data!P56,Sheet2!$H$3:$H$5,Sheet2!$I$3:$I$5,,-1)</f>
        <v>1.45</v>
      </c>
      <c r="E193">
        <f>_xlfn.XLOOKUP(insurance_policy_data!M56,Sheet2!$K$3:$K$7,Sheet2!$L$3:$L$7,,-1)</f>
        <v>1.4</v>
      </c>
      <c r="F193">
        <f>_xlfn.XLOOKUP(insurance_policy_data!H56,Sheet2!$N$3:$N$9,Sheet2!$O$3:$O$9,,-1)</f>
        <v>1.1000000000000001</v>
      </c>
      <c r="G193">
        <f>_xlfn.XLOOKUP(insurance_policy_data!L56,Sheet2!$Q$3:$Q$4,Sheet2!$R$3:$R$4)</f>
        <v>1.5</v>
      </c>
      <c r="H193">
        <f>_xlfn.XLOOKUP(insurance_policy_data!N56,Sheet2!$T$3:$T$5,Sheet2!$U$3:$U$5,,-1)</f>
        <v>1</v>
      </c>
      <c r="I193">
        <f t="shared" si="2"/>
        <v>405.28949999999998</v>
      </c>
    </row>
    <row r="194" spans="2:9" x14ac:dyDescent="0.3">
      <c r="B194">
        <f>_xlfn.XLOOKUP(insurance_policy_data!B70,Sheet2!$B$3:$B$8,Sheet2!$C$3:$C$8,,-1)</f>
        <v>1.34</v>
      </c>
      <c r="C194">
        <f>_xlfn.XLOOKUP(insurance_policy_data!I70,Sheet2!$E$3:$E$7,Sheet2!$F$3:$F$7,,-1)</f>
        <v>1.31</v>
      </c>
      <c r="D194">
        <f>_xlfn.XLOOKUP(insurance_policy_data!P70,Sheet2!$H$3:$H$5,Sheet2!$I$3:$I$5,,-1)</f>
        <v>1</v>
      </c>
      <c r="E194">
        <f>_xlfn.XLOOKUP(insurance_policy_data!M70,Sheet2!$K$3:$K$7,Sheet2!$L$3:$L$7,,-1)</f>
        <v>1.4</v>
      </c>
      <c r="F194">
        <f>_xlfn.XLOOKUP(insurance_policy_data!H70,Sheet2!$N$3:$N$9,Sheet2!$O$3:$O$9,,-1)</f>
        <v>1.25</v>
      </c>
      <c r="G194">
        <f>_xlfn.XLOOKUP(insurance_policy_data!L70,Sheet2!$Q$3:$Q$4,Sheet2!$R$3:$R$4)</f>
        <v>1.5</v>
      </c>
      <c r="H194">
        <f>_xlfn.XLOOKUP(insurance_policy_data!N70,Sheet2!$T$3:$T$5,Sheet2!$U$3:$U$5,,-1)</f>
        <v>1.1000000000000001</v>
      </c>
      <c r="I194">
        <f t="shared" si="2"/>
        <v>405.49739999999997</v>
      </c>
    </row>
    <row r="195" spans="2:9" x14ac:dyDescent="0.3">
      <c r="B195">
        <f>_xlfn.XLOOKUP(insurance_policy_data!B244,Sheet2!$B$3:$B$8,Sheet2!$C$3:$C$8,,-1)</f>
        <v>1.34</v>
      </c>
      <c r="C195">
        <f>_xlfn.XLOOKUP(insurance_policy_data!I244,Sheet2!$E$3:$E$7,Sheet2!$F$3:$F$7,,-1)</f>
        <v>1.3</v>
      </c>
      <c r="D195">
        <f>_xlfn.XLOOKUP(insurance_policy_data!P244,Sheet2!$H$3:$H$5,Sheet2!$I$3:$I$5,,-1)</f>
        <v>1</v>
      </c>
      <c r="E195">
        <f>_xlfn.XLOOKUP(insurance_policy_data!M244,Sheet2!$K$3:$K$7,Sheet2!$L$3:$L$7,,-1)</f>
        <v>1.3</v>
      </c>
      <c r="F195">
        <f>_xlfn.XLOOKUP(insurance_policy_data!H244,Sheet2!$N$3:$N$9,Sheet2!$O$3:$O$9,,-1)</f>
        <v>1.25</v>
      </c>
      <c r="G195">
        <f>_xlfn.XLOOKUP(insurance_policy_data!L244,Sheet2!$Q$3:$Q$4,Sheet2!$R$3:$R$4)</f>
        <v>1.5</v>
      </c>
      <c r="H195">
        <f>_xlfn.XLOOKUP(insurance_policy_data!N244,Sheet2!$T$3:$T$5,Sheet2!$U$3:$U$5,,-1)</f>
        <v>1.2</v>
      </c>
      <c r="I195">
        <f t="shared" ref="I195:I258" si="3">(B195*C195*D195*E195*F195*G195*H195)*80</f>
        <v>407.62799999999999</v>
      </c>
    </row>
    <row r="196" spans="2:9" x14ac:dyDescent="0.3">
      <c r="B196">
        <f>_xlfn.XLOOKUP(insurance_policy_data!B245,Sheet2!$B$3:$B$8,Sheet2!$C$3:$C$8,,-1)</f>
        <v>1.34</v>
      </c>
      <c r="C196">
        <f>_xlfn.XLOOKUP(insurance_policy_data!I245,Sheet2!$E$3:$E$7,Sheet2!$F$3:$F$7,,-1)</f>
        <v>1.3</v>
      </c>
      <c r="D196">
        <f>_xlfn.XLOOKUP(insurance_policy_data!P245,Sheet2!$H$3:$H$5,Sheet2!$I$3:$I$5,,-1)</f>
        <v>1</v>
      </c>
      <c r="E196">
        <f>_xlfn.XLOOKUP(insurance_policy_data!M245,Sheet2!$K$3:$K$7,Sheet2!$L$3:$L$7,,-1)</f>
        <v>1.39</v>
      </c>
      <c r="F196">
        <f>_xlfn.XLOOKUP(insurance_policy_data!H245,Sheet2!$N$3:$N$9,Sheet2!$O$3:$O$9,,-1)</f>
        <v>1.29</v>
      </c>
      <c r="G196">
        <f>_xlfn.XLOOKUP(insurance_policy_data!L245,Sheet2!$Q$3:$Q$4,Sheet2!$R$3:$R$4)</f>
        <v>1.5</v>
      </c>
      <c r="H196">
        <f>_xlfn.XLOOKUP(insurance_policy_data!N245,Sheet2!$T$3:$T$5,Sheet2!$U$3:$U$5,,-1)</f>
        <v>1.1000000000000001</v>
      </c>
      <c r="I196">
        <f t="shared" si="3"/>
        <v>412.3125864000001</v>
      </c>
    </row>
    <row r="197" spans="2:9" x14ac:dyDescent="0.3">
      <c r="B197">
        <f>_xlfn.XLOOKUP(insurance_policy_data!B17,Sheet2!$B$3:$B$8,Sheet2!$C$3:$C$8,,-1)</f>
        <v>1.27</v>
      </c>
      <c r="C197">
        <f>_xlfn.XLOOKUP(insurance_policy_data!I17,Sheet2!$E$3:$E$7,Sheet2!$F$3:$F$7,,-1)</f>
        <v>1.25</v>
      </c>
      <c r="D197">
        <f>_xlfn.XLOOKUP(insurance_policy_data!P17,Sheet2!$H$3:$H$5,Sheet2!$I$3:$I$5,,-1)</f>
        <v>1.45</v>
      </c>
      <c r="E197">
        <f>_xlfn.XLOOKUP(insurance_policy_data!M17,Sheet2!$K$3:$K$7,Sheet2!$L$3:$L$7,,-1)</f>
        <v>1.26</v>
      </c>
      <c r="F197">
        <f>_xlfn.XLOOKUP(insurance_policy_data!H17,Sheet2!$N$3:$N$9,Sheet2!$O$3:$O$9,,-1)</f>
        <v>1.2</v>
      </c>
      <c r="G197">
        <f>_xlfn.XLOOKUP(insurance_policy_data!L17,Sheet2!$Q$3:$Q$4,Sheet2!$R$3:$R$4)</f>
        <v>1.5</v>
      </c>
      <c r="H197">
        <f>_xlfn.XLOOKUP(insurance_policy_data!N17,Sheet2!$T$3:$T$5,Sheet2!$U$3:$U$5,,-1)</f>
        <v>1</v>
      </c>
      <c r="I197">
        <f t="shared" si="3"/>
        <v>417.65219999999999</v>
      </c>
    </row>
    <row r="198" spans="2:9" x14ac:dyDescent="0.3">
      <c r="B198">
        <f>_xlfn.XLOOKUP(insurance_policy_data!B229,Sheet2!$B$3:$B$8,Sheet2!$C$3:$C$8,,-1)</f>
        <v>1.27</v>
      </c>
      <c r="C198">
        <f>_xlfn.XLOOKUP(insurance_policy_data!I229,Sheet2!$E$3:$E$7,Sheet2!$F$3:$F$7,,-1)</f>
        <v>1.25</v>
      </c>
      <c r="D198">
        <f>_xlfn.XLOOKUP(insurance_policy_data!P229,Sheet2!$H$3:$H$5,Sheet2!$I$3:$I$5,,-1)</f>
        <v>1.45</v>
      </c>
      <c r="E198">
        <f>_xlfn.XLOOKUP(insurance_policy_data!M229,Sheet2!$K$3:$K$7,Sheet2!$L$3:$L$7,,-1)</f>
        <v>1.26</v>
      </c>
      <c r="F198">
        <f>_xlfn.XLOOKUP(insurance_policy_data!H229,Sheet2!$N$3:$N$9,Sheet2!$O$3:$O$9,,-1)</f>
        <v>1.2</v>
      </c>
      <c r="G198">
        <f>_xlfn.XLOOKUP(insurance_policy_data!L229,Sheet2!$Q$3:$Q$4,Sheet2!$R$3:$R$4)</f>
        <v>1.5</v>
      </c>
      <c r="H198">
        <f>_xlfn.XLOOKUP(insurance_policy_data!N229,Sheet2!$T$3:$T$5,Sheet2!$U$3:$U$5,,-1)</f>
        <v>1</v>
      </c>
      <c r="I198">
        <f t="shared" si="3"/>
        <v>417.65219999999999</v>
      </c>
    </row>
    <row r="199" spans="2:9" x14ac:dyDescent="0.3">
      <c r="B199">
        <f>_xlfn.XLOOKUP(insurance_policy_data!B238,Sheet2!$B$3:$B$8,Sheet2!$C$3:$C$8,,-1)</f>
        <v>1.34</v>
      </c>
      <c r="C199">
        <f>_xlfn.XLOOKUP(insurance_policy_data!I238,Sheet2!$E$3:$E$7,Sheet2!$F$3:$F$7,,-1)</f>
        <v>1.3</v>
      </c>
      <c r="D199">
        <f>_xlfn.XLOOKUP(insurance_policy_data!P238,Sheet2!$H$3:$H$5,Sheet2!$I$3:$I$5,,-1)</f>
        <v>1</v>
      </c>
      <c r="E199">
        <f>_xlfn.XLOOKUP(insurance_policy_data!M238,Sheet2!$K$3:$K$7,Sheet2!$L$3:$L$7,,-1)</f>
        <v>1.39</v>
      </c>
      <c r="F199">
        <f>_xlfn.XLOOKUP(insurance_policy_data!H238,Sheet2!$N$3:$N$9,Sheet2!$O$3:$O$9,,-1)</f>
        <v>1.2</v>
      </c>
      <c r="G199">
        <f>_xlfn.XLOOKUP(insurance_policy_data!L238,Sheet2!$Q$3:$Q$4,Sheet2!$R$3:$R$4)</f>
        <v>1.5</v>
      </c>
      <c r="H199">
        <f>_xlfn.XLOOKUP(insurance_policy_data!N238,Sheet2!$T$3:$T$5,Sheet2!$U$3:$U$5,,-1)</f>
        <v>1.2</v>
      </c>
      <c r="I199">
        <f t="shared" si="3"/>
        <v>418.41446399999995</v>
      </c>
    </row>
    <row r="200" spans="2:9" x14ac:dyDescent="0.3">
      <c r="B200">
        <f>_xlfn.XLOOKUP(insurance_policy_data!B264,Sheet2!$B$3:$B$8,Sheet2!$C$3:$C$8,,-1)</f>
        <v>1.35</v>
      </c>
      <c r="C200">
        <f>_xlfn.XLOOKUP(insurance_policy_data!I264,Sheet2!$E$3:$E$7,Sheet2!$F$3:$F$7,,-1)</f>
        <v>1.31</v>
      </c>
      <c r="D200">
        <f>_xlfn.XLOOKUP(insurance_policy_data!P264,Sheet2!$H$3:$H$5,Sheet2!$I$3:$I$5,,-1)</f>
        <v>1</v>
      </c>
      <c r="E200">
        <f>_xlfn.XLOOKUP(insurance_policy_data!M264,Sheet2!$K$3:$K$7,Sheet2!$L$3:$L$7,,-1)</f>
        <v>1.4</v>
      </c>
      <c r="F200">
        <f>_xlfn.XLOOKUP(insurance_policy_data!H264,Sheet2!$N$3:$N$9,Sheet2!$O$3:$O$9,,-1)</f>
        <v>1.29</v>
      </c>
      <c r="G200">
        <f>_xlfn.XLOOKUP(insurance_policy_data!L264,Sheet2!$Q$3:$Q$4,Sheet2!$R$3:$R$4)</f>
        <v>1.5</v>
      </c>
      <c r="H200">
        <f>_xlfn.XLOOKUP(insurance_policy_data!N264,Sheet2!$T$3:$T$5,Sheet2!$U$3:$U$5,,-1)</f>
        <v>1.1000000000000001</v>
      </c>
      <c r="I200">
        <f t="shared" si="3"/>
        <v>421.59625200000005</v>
      </c>
    </row>
    <row r="201" spans="2:9" x14ac:dyDescent="0.3">
      <c r="B201">
        <f>_xlfn.XLOOKUP(insurance_policy_data!B304,Sheet2!$B$3:$B$8,Sheet2!$C$3:$C$8,,-1)</f>
        <v>1.27</v>
      </c>
      <c r="C201">
        <f>_xlfn.XLOOKUP(insurance_policy_data!I304,Sheet2!$E$3:$E$7,Sheet2!$F$3:$F$7,,-1)</f>
        <v>1.25</v>
      </c>
      <c r="D201">
        <f>_xlfn.XLOOKUP(insurance_policy_data!P304,Sheet2!$H$3:$H$5,Sheet2!$I$3:$I$5,,-1)</f>
        <v>1.45</v>
      </c>
      <c r="E201">
        <f>_xlfn.XLOOKUP(insurance_policy_data!M304,Sheet2!$K$3:$K$7,Sheet2!$L$3:$L$7,,-1)</f>
        <v>1.39</v>
      </c>
      <c r="F201">
        <f>_xlfn.XLOOKUP(insurance_policy_data!H304,Sheet2!$N$3:$N$9,Sheet2!$O$3:$O$9,,-1)</f>
        <v>1.1000000000000001</v>
      </c>
      <c r="G201">
        <f>_xlfn.XLOOKUP(insurance_policy_data!L304,Sheet2!$Q$3:$Q$4,Sheet2!$R$3:$R$4)</f>
        <v>1.5</v>
      </c>
      <c r="H201">
        <f>_xlfn.XLOOKUP(insurance_policy_data!N304,Sheet2!$T$3:$T$5,Sheet2!$U$3:$U$5,,-1)</f>
        <v>1</v>
      </c>
      <c r="I201">
        <f t="shared" si="3"/>
        <v>422.34802500000001</v>
      </c>
    </row>
    <row r="202" spans="2:9" x14ac:dyDescent="0.3">
      <c r="B202">
        <f>_xlfn.XLOOKUP(insurance_policy_data!B143,Sheet2!$B$3:$B$8,Sheet2!$C$3:$C$8,,-1)</f>
        <v>1.25</v>
      </c>
      <c r="C202">
        <f>_xlfn.XLOOKUP(insurance_policy_data!I143,Sheet2!$E$3:$E$7,Sheet2!$F$3:$F$7,,-1)</f>
        <v>1.3</v>
      </c>
      <c r="D202">
        <f>_xlfn.XLOOKUP(insurance_policy_data!P143,Sheet2!$H$3:$H$5,Sheet2!$I$3:$I$5,,-1)</f>
        <v>1</v>
      </c>
      <c r="E202">
        <f>_xlfn.XLOOKUP(insurance_policy_data!M143,Sheet2!$K$3:$K$7,Sheet2!$L$3:$L$7,,-1)</f>
        <v>1.4</v>
      </c>
      <c r="F202">
        <f>_xlfn.XLOOKUP(insurance_policy_data!H143,Sheet2!$N$3:$N$9,Sheet2!$O$3:$O$9,,-1)</f>
        <v>1.29</v>
      </c>
      <c r="G202">
        <f>_xlfn.XLOOKUP(insurance_policy_data!L143,Sheet2!$Q$3:$Q$4,Sheet2!$R$3:$R$4)</f>
        <v>1.5</v>
      </c>
      <c r="H202">
        <f>_xlfn.XLOOKUP(insurance_policy_data!N143,Sheet2!$T$3:$T$5,Sheet2!$U$3:$U$5,,-1)</f>
        <v>1.2</v>
      </c>
      <c r="I202">
        <f t="shared" si="3"/>
        <v>422.60399999999998</v>
      </c>
    </row>
    <row r="203" spans="2:9" x14ac:dyDescent="0.3">
      <c r="B203">
        <f>_xlfn.XLOOKUP(insurance_policy_data!B277,Sheet2!$B$3:$B$8,Sheet2!$C$3:$C$8,,-1)</f>
        <v>1.35</v>
      </c>
      <c r="C203">
        <f>_xlfn.XLOOKUP(insurance_policy_data!I277,Sheet2!$E$3:$E$7,Sheet2!$F$3:$F$7,,-1)</f>
        <v>1.31</v>
      </c>
      <c r="D203">
        <f>_xlfn.XLOOKUP(insurance_policy_data!P277,Sheet2!$H$3:$H$5,Sheet2!$I$3:$I$5,,-1)</f>
        <v>1.45</v>
      </c>
      <c r="E203">
        <f>_xlfn.XLOOKUP(insurance_policy_data!M277,Sheet2!$K$3:$K$7,Sheet2!$L$3:$L$7,,-1)</f>
        <v>1.26</v>
      </c>
      <c r="F203">
        <f>_xlfn.XLOOKUP(insurance_policy_data!H277,Sheet2!$N$3:$N$9,Sheet2!$O$3:$O$9,,-1)</f>
        <v>1.1000000000000001</v>
      </c>
      <c r="G203">
        <f>_xlfn.XLOOKUP(insurance_policy_data!L277,Sheet2!$Q$3:$Q$4,Sheet2!$R$3:$R$4)</f>
        <v>1.5</v>
      </c>
      <c r="H203">
        <f>_xlfn.XLOOKUP(insurance_policy_data!N277,Sheet2!$T$3:$T$5,Sheet2!$U$3:$U$5,,-1)</f>
        <v>1</v>
      </c>
      <c r="I203">
        <f t="shared" si="3"/>
        <v>426.49853400000006</v>
      </c>
    </row>
    <row r="204" spans="2:9" x14ac:dyDescent="0.3">
      <c r="B204">
        <f>_xlfn.XLOOKUP(insurance_policy_data!B225,Sheet2!$B$3:$B$8,Sheet2!$C$3:$C$8,,-1)</f>
        <v>1.25</v>
      </c>
      <c r="C204">
        <f>_xlfn.XLOOKUP(insurance_policy_data!I225,Sheet2!$E$3:$E$7,Sheet2!$F$3:$F$7,,-1)</f>
        <v>1.3</v>
      </c>
      <c r="D204">
        <f>_xlfn.XLOOKUP(insurance_policy_data!P225,Sheet2!$H$3:$H$5,Sheet2!$I$3:$I$5,,-1)</f>
        <v>1.45</v>
      </c>
      <c r="E204">
        <f>_xlfn.XLOOKUP(insurance_policy_data!M225,Sheet2!$K$3:$K$7,Sheet2!$L$3:$L$7,,-1)</f>
        <v>1.26</v>
      </c>
      <c r="F204">
        <f>_xlfn.XLOOKUP(insurance_policy_data!H225,Sheet2!$N$3:$N$9,Sheet2!$O$3:$O$9,,-1)</f>
        <v>1.2</v>
      </c>
      <c r="G204">
        <f>_xlfn.XLOOKUP(insurance_policy_data!L225,Sheet2!$Q$3:$Q$4,Sheet2!$R$3:$R$4)</f>
        <v>1.5</v>
      </c>
      <c r="H204">
        <f>_xlfn.XLOOKUP(insurance_policy_data!N225,Sheet2!$T$3:$T$5,Sheet2!$U$3:$U$5,,-1)</f>
        <v>1</v>
      </c>
      <c r="I204">
        <f t="shared" si="3"/>
        <v>427.51799999999997</v>
      </c>
    </row>
    <row r="205" spans="2:9" x14ac:dyDescent="0.3">
      <c r="B205">
        <f>_xlfn.XLOOKUP(insurance_policy_data!B98,Sheet2!$B$3:$B$8,Sheet2!$C$3:$C$8,,-1)</f>
        <v>1.35</v>
      </c>
      <c r="C205">
        <f>_xlfn.XLOOKUP(insurance_policy_data!I98,Sheet2!$E$3:$E$7,Sheet2!$F$3:$F$7,,-1)</f>
        <v>1.31</v>
      </c>
      <c r="D205">
        <f>_xlfn.XLOOKUP(insurance_policy_data!P98,Sheet2!$H$3:$H$5,Sheet2!$I$3:$I$5,,-1)</f>
        <v>1</v>
      </c>
      <c r="E205">
        <f>_xlfn.XLOOKUP(insurance_policy_data!M98,Sheet2!$K$3:$K$7,Sheet2!$L$3:$L$7,,-1)</f>
        <v>1.39</v>
      </c>
      <c r="F205">
        <f>_xlfn.XLOOKUP(insurance_policy_data!H98,Sheet2!$N$3:$N$9,Sheet2!$O$3:$O$9,,-1)</f>
        <v>1.33</v>
      </c>
      <c r="G205">
        <f>_xlfn.XLOOKUP(insurance_policy_data!L98,Sheet2!$Q$3:$Q$4,Sheet2!$R$3:$R$4)</f>
        <v>1.5</v>
      </c>
      <c r="H205">
        <f>_xlfn.XLOOKUP(insurance_policy_data!N98,Sheet2!$T$3:$T$5,Sheet2!$U$3:$U$5,,-1)</f>
        <v>1.1000000000000001</v>
      </c>
      <c r="I205">
        <f t="shared" si="3"/>
        <v>431.5642254</v>
      </c>
    </row>
    <row r="206" spans="2:9" x14ac:dyDescent="0.3">
      <c r="B206">
        <f>_xlfn.XLOOKUP(insurance_policy_data!B220,Sheet2!$B$3:$B$8,Sheet2!$C$3:$C$8,,-1)</f>
        <v>1.35</v>
      </c>
      <c r="C206">
        <f>_xlfn.XLOOKUP(insurance_policy_data!I220,Sheet2!$E$3:$E$7,Sheet2!$F$3:$F$7,,-1)</f>
        <v>1.31</v>
      </c>
      <c r="D206">
        <f>_xlfn.XLOOKUP(insurance_policy_data!P220,Sheet2!$H$3:$H$5,Sheet2!$I$3:$I$5,,-1)</f>
        <v>1</v>
      </c>
      <c r="E206">
        <f>_xlfn.XLOOKUP(insurance_policy_data!M220,Sheet2!$K$3:$K$7,Sheet2!$L$3:$L$7,,-1)</f>
        <v>1.39</v>
      </c>
      <c r="F206">
        <f>_xlfn.XLOOKUP(insurance_policy_data!H220,Sheet2!$N$3:$N$9,Sheet2!$O$3:$O$9,,-1)</f>
        <v>1.33</v>
      </c>
      <c r="G206">
        <f>_xlfn.XLOOKUP(insurance_policy_data!L220,Sheet2!$Q$3:$Q$4,Sheet2!$R$3:$R$4)</f>
        <v>1.5</v>
      </c>
      <c r="H206">
        <f>_xlfn.XLOOKUP(insurance_policy_data!N220,Sheet2!$T$3:$T$5,Sheet2!$U$3:$U$5,,-1)</f>
        <v>1.1000000000000001</v>
      </c>
      <c r="I206">
        <f t="shared" si="3"/>
        <v>431.5642254</v>
      </c>
    </row>
    <row r="207" spans="2:9" x14ac:dyDescent="0.3">
      <c r="B207">
        <f>_xlfn.XLOOKUP(insurance_policy_data!B63,Sheet2!$B$3:$B$8,Sheet2!$C$3:$C$8,,-1)</f>
        <v>1.25</v>
      </c>
      <c r="C207">
        <f>_xlfn.XLOOKUP(insurance_policy_data!I63,Sheet2!$E$3:$E$7,Sheet2!$F$3:$F$7,,-1)</f>
        <v>1.3</v>
      </c>
      <c r="D207">
        <f>_xlfn.XLOOKUP(insurance_policy_data!P63,Sheet2!$H$3:$H$5,Sheet2!$I$3:$I$5,,-1)</f>
        <v>1.45</v>
      </c>
      <c r="E207">
        <f>_xlfn.XLOOKUP(insurance_policy_data!M63,Sheet2!$K$3:$K$7,Sheet2!$L$3:$L$7,,-1)</f>
        <v>1.39</v>
      </c>
      <c r="F207">
        <f>_xlfn.XLOOKUP(insurance_policy_data!H63,Sheet2!$N$3:$N$9,Sheet2!$O$3:$O$9,,-1)</f>
        <v>1.1000000000000001</v>
      </c>
      <c r="G207">
        <f>_xlfn.XLOOKUP(insurance_policy_data!L63,Sheet2!$Q$3:$Q$4,Sheet2!$R$3:$R$4)</f>
        <v>1.5</v>
      </c>
      <c r="H207">
        <f>_xlfn.XLOOKUP(insurance_policy_data!N63,Sheet2!$T$3:$T$5,Sheet2!$U$3:$U$5,,-1)</f>
        <v>1</v>
      </c>
      <c r="I207">
        <f t="shared" si="3"/>
        <v>432.32474999999994</v>
      </c>
    </row>
    <row r="208" spans="2:9" x14ac:dyDescent="0.3">
      <c r="B208">
        <f>_xlfn.XLOOKUP(insurance_policy_data!B273,Sheet2!$B$3:$B$8,Sheet2!$C$3:$C$8,,-1)</f>
        <v>1.34</v>
      </c>
      <c r="C208">
        <f>_xlfn.XLOOKUP(insurance_policy_data!I273,Sheet2!$E$3:$E$7,Sheet2!$F$3:$F$7,,-1)</f>
        <v>1.3</v>
      </c>
      <c r="D208">
        <f>_xlfn.XLOOKUP(insurance_policy_data!P273,Sheet2!$H$3:$H$5,Sheet2!$I$3:$I$5,,-1)</f>
        <v>1</v>
      </c>
      <c r="E208">
        <f>_xlfn.XLOOKUP(insurance_policy_data!M273,Sheet2!$K$3:$K$7,Sheet2!$L$3:$L$7,,-1)</f>
        <v>1.3</v>
      </c>
      <c r="F208">
        <f>_xlfn.XLOOKUP(insurance_policy_data!H273,Sheet2!$N$3:$N$9,Sheet2!$O$3:$O$9,,-1)</f>
        <v>1.33</v>
      </c>
      <c r="G208">
        <f>_xlfn.XLOOKUP(insurance_policy_data!L273,Sheet2!$Q$3:$Q$4,Sheet2!$R$3:$R$4)</f>
        <v>1.5</v>
      </c>
      <c r="H208">
        <f>_xlfn.XLOOKUP(insurance_policy_data!N273,Sheet2!$T$3:$T$5,Sheet2!$U$3:$U$5,,-1)</f>
        <v>1.2</v>
      </c>
      <c r="I208">
        <f t="shared" si="3"/>
        <v>433.71619200000004</v>
      </c>
    </row>
    <row r="209" spans="2:9" x14ac:dyDescent="0.3">
      <c r="B209">
        <f>_xlfn.XLOOKUP(insurance_policy_data!B137,Sheet2!$B$3:$B$8,Sheet2!$C$3:$C$8,,-1)</f>
        <v>1.27</v>
      </c>
      <c r="C209">
        <f>_xlfn.XLOOKUP(insurance_policy_data!I137,Sheet2!$E$3:$E$7,Sheet2!$F$3:$F$7,,-1)</f>
        <v>1.25</v>
      </c>
      <c r="D209">
        <f>_xlfn.XLOOKUP(insurance_policy_data!P137,Sheet2!$H$3:$H$5,Sheet2!$I$3:$I$5,,-1)</f>
        <v>1.45</v>
      </c>
      <c r="E209">
        <f>_xlfn.XLOOKUP(insurance_policy_data!M137,Sheet2!$K$3:$K$7,Sheet2!$L$3:$L$7,,-1)</f>
        <v>1.3</v>
      </c>
      <c r="F209">
        <f>_xlfn.XLOOKUP(insurance_policy_data!H137,Sheet2!$N$3:$N$9,Sheet2!$O$3:$O$9,,-1)</f>
        <v>1.1000000000000001</v>
      </c>
      <c r="G209">
        <f>_xlfn.XLOOKUP(insurance_policy_data!L137,Sheet2!$Q$3:$Q$4,Sheet2!$R$3:$R$4)</f>
        <v>1.5</v>
      </c>
      <c r="H209">
        <f>_xlfn.XLOOKUP(insurance_policy_data!N137,Sheet2!$T$3:$T$5,Sheet2!$U$3:$U$5,,-1)</f>
        <v>1.1000000000000001</v>
      </c>
      <c r="I209">
        <f t="shared" si="3"/>
        <v>434.50192500000003</v>
      </c>
    </row>
    <row r="210" spans="2:9" x14ac:dyDescent="0.3">
      <c r="B210">
        <f>_xlfn.XLOOKUP(insurance_policy_data!B189,Sheet2!$B$3:$B$8,Sheet2!$C$3:$C$8,,-1)</f>
        <v>1.21</v>
      </c>
      <c r="C210">
        <f>_xlfn.XLOOKUP(insurance_policy_data!I189,Sheet2!$E$3:$E$7,Sheet2!$F$3:$F$7,,-1)</f>
        <v>1.25</v>
      </c>
      <c r="D210">
        <f>_xlfn.XLOOKUP(insurance_policy_data!P189,Sheet2!$H$3:$H$5,Sheet2!$I$3:$I$5,,-1)</f>
        <v>1.45</v>
      </c>
      <c r="E210">
        <f>_xlfn.XLOOKUP(insurance_policy_data!M189,Sheet2!$K$3:$K$7,Sheet2!$L$3:$L$7,,-1)</f>
        <v>1.39</v>
      </c>
      <c r="F210">
        <f>_xlfn.XLOOKUP(insurance_policy_data!H189,Sheet2!$N$3:$N$9,Sheet2!$O$3:$O$9,,-1)</f>
        <v>1.2</v>
      </c>
      <c r="G210">
        <f>_xlfn.XLOOKUP(insurance_policy_data!L189,Sheet2!$Q$3:$Q$4,Sheet2!$R$3:$R$4)</f>
        <v>1.5</v>
      </c>
      <c r="H210">
        <f>_xlfn.XLOOKUP(insurance_policy_data!N189,Sheet2!$T$3:$T$5,Sheet2!$U$3:$U$5,,-1)</f>
        <v>1</v>
      </c>
      <c r="I210">
        <f t="shared" si="3"/>
        <v>438.97589999999991</v>
      </c>
    </row>
    <row r="211" spans="2:9" x14ac:dyDescent="0.3">
      <c r="B211">
        <f>_xlfn.XLOOKUP(insurance_policy_data!B11,Sheet2!$B$3:$B$8,Sheet2!$C$3:$C$8,,-1)</f>
        <v>1.35</v>
      </c>
      <c r="C211">
        <f>_xlfn.XLOOKUP(insurance_policy_data!I11,Sheet2!$E$3:$E$7,Sheet2!$F$3:$F$7,,-1)</f>
        <v>1.31</v>
      </c>
      <c r="D211">
        <f>_xlfn.XLOOKUP(insurance_policy_data!P11,Sheet2!$H$3:$H$5,Sheet2!$I$3:$I$5,,-1)</f>
        <v>1.45</v>
      </c>
      <c r="E211">
        <f>_xlfn.XLOOKUP(insurance_policy_data!M11,Sheet2!$K$3:$K$7,Sheet2!$L$3:$L$7,,-1)</f>
        <v>1.3</v>
      </c>
      <c r="F211">
        <f>_xlfn.XLOOKUP(insurance_policy_data!H11,Sheet2!$N$3:$N$9,Sheet2!$O$3:$O$9,,-1)</f>
        <v>1.1000000000000001</v>
      </c>
      <c r="G211">
        <f>_xlfn.XLOOKUP(insurance_policy_data!L11,Sheet2!$Q$3:$Q$4,Sheet2!$R$3:$R$4)</f>
        <v>1.5</v>
      </c>
      <c r="H211">
        <f>_xlfn.XLOOKUP(insurance_policy_data!N11,Sheet2!$T$3:$T$5,Sheet2!$U$3:$U$5,,-1)</f>
        <v>1</v>
      </c>
      <c r="I211">
        <f t="shared" si="3"/>
        <v>440.03817000000004</v>
      </c>
    </row>
    <row r="212" spans="2:9" x14ac:dyDescent="0.3">
      <c r="B212">
        <f>_xlfn.XLOOKUP(insurance_policy_data!B99,Sheet2!$B$3:$B$8,Sheet2!$C$3:$C$8,,-1)</f>
        <v>1.35</v>
      </c>
      <c r="C212">
        <f>_xlfn.XLOOKUP(insurance_policy_data!I99,Sheet2!$E$3:$E$7,Sheet2!$F$3:$F$7,,-1)</f>
        <v>1.31</v>
      </c>
      <c r="D212">
        <f>_xlfn.XLOOKUP(insurance_policy_data!P99,Sheet2!$H$3:$H$5,Sheet2!$I$3:$I$5,,-1)</f>
        <v>1.45</v>
      </c>
      <c r="E212">
        <f>_xlfn.XLOOKUP(insurance_policy_data!M99,Sheet2!$K$3:$K$7,Sheet2!$L$3:$L$7,,-1)</f>
        <v>1.3</v>
      </c>
      <c r="F212">
        <f>_xlfn.XLOOKUP(insurance_policy_data!H99,Sheet2!$N$3:$N$9,Sheet2!$O$3:$O$9,,-1)</f>
        <v>1.1000000000000001</v>
      </c>
      <c r="G212">
        <f>_xlfn.XLOOKUP(insurance_policy_data!L99,Sheet2!$Q$3:$Q$4,Sheet2!$R$3:$R$4)</f>
        <v>1.5</v>
      </c>
      <c r="H212">
        <f>_xlfn.XLOOKUP(insurance_policy_data!N99,Sheet2!$T$3:$T$5,Sheet2!$U$3:$U$5,,-1)</f>
        <v>1</v>
      </c>
      <c r="I212">
        <f t="shared" si="3"/>
        <v>440.03817000000004</v>
      </c>
    </row>
    <row r="213" spans="2:9" x14ac:dyDescent="0.3">
      <c r="B213">
        <f>_xlfn.XLOOKUP(insurance_policy_data!B258,Sheet2!$B$3:$B$8,Sheet2!$C$3:$C$8,,-1)</f>
        <v>1.35</v>
      </c>
      <c r="C213">
        <f>_xlfn.XLOOKUP(insurance_policy_data!I258,Sheet2!$E$3:$E$7,Sheet2!$F$3:$F$7,,-1)</f>
        <v>1.31</v>
      </c>
      <c r="D213">
        <f>_xlfn.XLOOKUP(insurance_policy_data!P258,Sheet2!$H$3:$H$5,Sheet2!$I$3:$I$5,,-1)</f>
        <v>1</v>
      </c>
      <c r="E213">
        <f>_xlfn.XLOOKUP(insurance_policy_data!M258,Sheet2!$K$3:$K$7,Sheet2!$L$3:$L$7,,-1)</f>
        <v>1.3</v>
      </c>
      <c r="F213">
        <f>_xlfn.XLOOKUP(insurance_policy_data!H258,Sheet2!$N$3:$N$9,Sheet2!$O$3:$O$9,,-1)</f>
        <v>1.33</v>
      </c>
      <c r="G213">
        <f>_xlfn.XLOOKUP(insurance_policy_data!L258,Sheet2!$Q$3:$Q$4,Sheet2!$R$3:$R$4)</f>
        <v>1.5</v>
      </c>
      <c r="H213">
        <f>_xlfn.XLOOKUP(insurance_policy_data!N258,Sheet2!$T$3:$T$5,Sheet2!$U$3:$U$5,,-1)</f>
        <v>1.2</v>
      </c>
      <c r="I213">
        <f t="shared" si="3"/>
        <v>440.31405599999999</v>
      </c>
    </row>
    <row r="214" spans="2:9" x14ac:dyDescent="0.3">
      <c r="B214">
        <f>_xlfn.XLOOKUP(insurance_policy_data!B79,Sheet2!$B$3:$B$8,Sheet2!$C$3:$C$8,,-1)</f>
        <v>1.21</v>
      </c>
      <c r="C214">
        <f>_xlfn.XLOOKUP(insurance_policy_data!I79,Sheet2!$E$3:$E$7,Sheet2!$F$3:$F$7,,-1)</f>
        <v>1.25</v>
      </c>
      <c r="D214">
        <f>_xlfn.XLOOKUP(insurance_policy_data!P79,Sheet2!$H$3:$H$5,Sheet2!$I$3:$I$5,,-1)</f>
        <v>1.45</v>
      </c>
      <c r="E214">
        <f>_xlfn.XLOOKUP(insurance_policy_data!M79,Sheet2!$K$3:$K$7,Sheet2!$L$3:$L$7,,-1)</f>
        <v>1.26</v>
      </c>
      <c r="F214">
        <f>_xlfn.XLOOKUP(insurance_policy_data!H79,Sheet2!$N$3:$N$9,Sheet2!$O$3:$O$9,,-1)</f>
        <v>1.33</v>
      </c>
      <c r="G214">
        <f>_xlfn.XLOOKUP(insurance_policy_data!L79,Sheet2!$Q$3:$Q$4,Sheet2!$R$3:$R$4)</f>
        <v>1.5</v>
      </c>
      <c r="H214">
        <f>_xlfn.XLOOKUP(insurance_policy_data!N79,Sheet2!$T$3:$T$5,Sheet2!$U$3:$U$5,,-1)</f>
        <v>1</v>
      </c>
      <c r="I214">
        <f t="shared" si="3"/>
        <v>441.02866499999999</v>
      </c>
    </row>
    <row r="215" spans="2:9" x14ac:dyDescent="0.3">
      <c r="B215">
        <f>_xlfn.XLOOKUP(insurance_policy_data!B295,Sheet2!$B$3:$B$8,Sheet2!$C$3:$C$8,,-1)</f>
        <v>1.21</v>
      </c>
      <c r="C215">
        <f>_xlfn.XLOOKUP(insurance_policy_data!I295,Sheet2!$E$3:$E$7,Sheet2!$F$3:$F$7,,-1)</f>
        <v>1.25</v>
      </c>
      <c r="D215">
        <f>_xlfn.XLOOKUP(insurance_policy_data!P295,Sheet2!$H$3:$H$5,Sheet2!$I$3:$I$5,,-1)</f>
        <v>1.45</v>
      </c>
      <c r="E215">
        <f>_xlfn.XLOOKUP(insurance_policy_data!M295,Sheet2!$K$3:$K$7,Sheet2!$L$3:$L$7,,-1)</f>
        <v>1.4</v>
      </c>
      <c r="F215">
        <f>_xlfn.XLOOKUP(insurance_policy_data!H295,Sheet2!$N$3:$N$9,Sheet2!$O$3:$O$9,,-1)</f>
        <v>1.2</v>
      </c>
      <c r="G215">
        <f>_xlfn.XLOOKUP(insurance_policy_data!L295,Sheet2!$Q$3:$Q$4,Sheet2!$R$3:$R$4)</f>
        <v>1.5</v>
      </c>
      <c r="H215">
        <f>_xlfn.XLOOKUP(insurance_policy_data!N295,Sheet2!$T$3:$T$5,Sheet2!$U$3:$U$5,,-1)</f>
        <v>1</v>
      </c>
      <c r="I215">
        <f t="shared" si="3"/>
        <v>442.1339999999999</v>
      </c>
    </row>
    <row r="216" spans="2:9" x14ac:dyDescent="0.3">
      <c r="B216">
        <f>_xlfn.XLOOKUP(insurance_policy_data!B131,Sheet2!$B$3:$B$8,Sheet2!$C$3:$C$8,,-1)</f>
        <v>1.35</v>
      </c>
      <c r="C216">
        <f>_xlfn.XLOOKUP(insurance_policy_data!I131,Sheet2!$E$3:$E$7,Sheet2!$F$3:$F$7,,-1)</f>
        <v>1.31</v>
      </c>
      <c r="D216">
        <f>_xlfn.XLOOKUP(insurance_policy_data!P131,Sheet2!$H$3:$H$5,Sheet2!$I$3:$I$5,,-1)</f>
        <v>1</v>
      </c>
      <c r="E216">
        <f>_xlfn.XLOOKUP(insurance_policy_data!M131,Sheet2!$K$3:$K$7,Sheet2!$L$3:$L$7,,-1)</f>
        <v>1.39</v>
      </c>
      <c r="F216">
        <f>_xlfn.XLOOKUP(insurance_policy_data!H131,Sheet2!$N$3:$N$9,Sheet2!$O$3:$O$9,,-1)</f>
        <v>1.25</v>
      </c>
      <c r="G216">
        <f>_xlfn.XLOOKUP(insurance_policy_data!L131,Sheet2!$Q$3:$Q$4,Sheet2!$R$3:$R$4)</f>
        <v>1.5</v>
      </c>
      <c r="H216">
        <f>_xlfn.XLOOKUP(insurance_policy_data!N131,Sheet2!$T$3:$T$5,Sheet2!$U$3:$U$5,,-1)</f>
        <v>1.2</v>
      </c>
      <c r="I216">
        <f t="shared" si="3"/>
        <v>442.4787</v>
      </c>
    </row>
    <row r="217" spans="2:9" x14ac:dyDescent="0.3">
      <c r="B217">
        <f>_xlfn.XLOOKUP(insurance_policy_data!B37,Sheet2!$B$3:$B$8,Sheet2!$C$3:$C$8,,-1)</f>
        <v>1.21</v>
      </c>
      <c r="C217">
        <f>_xlfn.XLOOKUP(insurance_policy_data!I37,Sheet2!$E$3:$E$7,Sheet2!$F$3:$F$7,,-1)</f>
        <v>1.25</v>
      </c>
      <c r="D217">
        <f>_xlfn.XLOOKUP(insurance_policy_data!P37,Sheet2!$H$3:$H$5,Sheet2!$I$3:$I$5,,-1)</f>
        <v>1.45</v>
      </c>
      <c r="E217">
        <f>_xlfn.XLOOKUP(insurance_policy_data!M37,Sheet2!$K$3:$K$7,Sheet2!$L$3:$L$7,,-1)</f>
        <v>1.39</v>
      </c>
      <c r="F217">
        <f>_xlfn.XLOOKUP(insurance_policy_data!H37,Sheet2!$N$3:$N$9,Sheet2!$O$3:$O$9,,-1)</f>
        <v>1.1000000000000001</v>
      </c>
      <c r="G217">
        <f>_xlfn.XLOOKUP(insurance_policy_data!L37,Sheet2!$Q$3:$Q$4,Sheet2!$R$3:$R$4)</f>
        <v>1.5</v>
      </c>
      <c r="H217">
        <f>_xlfn.XLOOKUP(insurance_policy_data!N37,Sheet2!$T$3:$T$5,Sheet2!$U$3:$U$5,,-1)</f>
        <v>1.1000000000000001</v>
      </c>
      <c r="I217">
        <f t="shared" si="3"/>
        <v>442.63403250000005</v>
      </c>
    </row>
    <row r="218" spans="2:9" x14ac:dyDescent="0.3">
      <c r="B218">
        <f>_xlfn.XLOOKUP(insurance_policy_data!B282,Sheet2!$B$3:$B$8,Sheet2!$C$3:$C$8,,-1)</f>
        <v>1.25</v>
      </c>
      <c r="C218">
        <f>_xlfn.XLOOKUP(insurance_policy_data!I282,Sheet2!$E$3:$E$7,Sheet2!$F$3:$F$7,,-1)</f>
        <v>1.3</v>
      </c>
      <c r="D218">
        <f>_xlfn.XLOOKUP(insurance_policy_data!P282,Sheet2!$H$3:$H$5,Sheet2!$I$3:$I$5,,-1)</f>
        <v>1</v>
      </c>
      <c r="E218">
        <f>_xlfn.XLOOKUP(insurance_policy_data!M282,Sheet2!$K$3:$K$7,Sheet2!$L$3:$L$7,,-1)</f>
        <v>1.4</v>
      </c>
      <c r="F218">
        <f>_xlfn.XLOOKUP(insurance_policy_data!H282,Sheet2!$N$3:$N$9,Sheet2!$O$3:$O$9,,-1)</f>
        <v>1.36</v>
      </c>
      <c r="G218">
        <f>_xlfn.XLOOKUP(insurance_policy_data!L282,Sheet2!$Q$3:$Q$4,Sheet2!$R$3:$R$4)</f>
        <v>1.5</v>
      </c>
      <c r="H218">
        <f>_xlfn.XLOOKUP(insurance_policy_data!N282,Sheet2!$T$3:$T$5,Sheet2!$U$3:$U$5,,-1)</f>
        <v>1.2</v>
      </c>
      <c r="I218">
        <f t="shared" si="3"/>
        <v>445.53599999999994</v>
      </c>
    </row>
    <row r="219" spans="2:9" x14ac:dyDescent="0.3">
      <c r="B219">
        <f>_xlfn.XLOOKUP(insurance_policy_data!B155,Sheet2!$B$3:$B$8,Sheet2!$C$3:$C$8,,-1)</f>
        <v>1.21</v>
      </c>
      <c r="C219">
        <f>_xlfn.XLOOKUP(insurance_policy_data!I155,Sheet2!$E$3:$E$7,Sheet2!$F$3:$F$7,,-1)</f>
        <v>1.25</v>
      </c>
      <c r="D219">
        <f>_xlfn.XLOOKUP(insurance_policy_data!P155,Sheet2!$H$3:$H$5,Sheet2!$I$3:$I$5,,-1)</f>
        <v>1.45</v>
      </c>
      <c r="E219">
        <f>_xlfn.XLOOKUP(insurance_policy_data!M155,Sheet2!$K$3:$K$7,Sheet2!$L$3:$L$7,,-1)</f>
        <v>1.4</v>
      </c>
      <c r="F219">
        <f>_xlfn.XLOOKUP(insurance_policy_data!H155,Sheet2!$N$3:$N$9,Sheet2!$O$3:$O$9,,-1)</f>
        <v>1.1000000000000001</v>
      </c>
      <c r="G219">
        <f>_xlfn.XLOOKUP(insurance_policy_data!L155,Sheet2!$Q$3:$Q$4,Sheet2!$R$3:$R$4)</f>
        <v>1.5</v>
      </c>
      <c r="H219">
        <f>_xlfn.XLOOKUP(insurance_policy_data!N155,Sheet2!$T$3:$T$5,Sheet2!$U$3:$U$5,,-1)</f>
        <v>1.1000000000000001</v>
      </c>
      <c r="I219">
        <f t="shared" si="3"/>
        <v>445.81844999999998</v>
      </c>
    </row>
    <row r="220" spans="2:9" x14ac:dyDescent="0.3">
      <c r="B220">
        <f>_xlfn.XLOOKUP(insurance_policy_data!B40,Sheet2!$B$3:$B$8,Sheet2!$C$3:$C$8,,-1)</f>
        <v>1.27</v>
      </c>
      <c r="C220">
        <f>_xlfn.XLOOKUP(insurance_policy_data!I40,Sheet2!$E$3:$E$7,Sheet2!$F$3:$F$7,,-1)</f>
        <v>1.25</v>
      </c>
      <c r="D220">
        <f>_xlfn.XLOOKUP(insurance_policy_data!P40,Sheet2!$H$3:$H$5,Sheet2!$I$3:$I$5,,-1)</f>
        <v>1.45</v>
      </c>
      <c r="E220">
        <f>_xlfn.XLOOKUP(insurance_policy_data!M40,Sheet2!$K$3:$K$7,Sheet2!$L$3:$L$7,,-1)</f>
        <v>1.26</v>
      </c>
      <c r="F220">
        <f>_xlfn.XLOOKUP(insurance_policy_data!H40,Sheet2!$N$3:$N$9,Sheet2!$O$3:$O$9,,-1)</f>
        <v>1.29</v>
      </c>
      <c r="G220">
        <f>_xlfn.XLOOKUP(insurance_policy_data!L40,Sheet2!$Q$3:$Q$4,Sheet2!$R$3:$R$4)</f>
        <v>1.5</v>
      </c>
      <c r="H220">
        <f>_xlfn.XLOOKUP(insurance_policy_data!N40,Sheet2!$T$3:$T$5,Sheet2!$U$3:$U$5,,-1)</f>
        <v>1</v>
      </c>
      <c r="I220">
        <f t="shared" si="3"/>
        <v>448.97611499999994</v>
      </c>
    </row>
    <row r="221" spans="2:9" x14ac:dyDescent="0.3">
      <c r="B221">
        <f>_xlfn.XLOOKUP(insurance_policy_data!B170,Sheet2!$B$3:$B$8,Sheet2!$C$3:$C$8,,-1)</f>
        <v>1.34</v>
      </c>
      <c r="C221">
        <f>_xlfn.XLOOKUP(insurance_policy_data!I170,Sheet2!$E$3:$E$7,Sheet2!$F$3:$F$7,,-1)</f>
        <v>1.3</v>
      </c>
      <c r="D221">
        <f>_xlfn.XLOOKUP(insurance_policy_data!P170,Sheet2!$H$3:$H$5,Sheet2!$I$3:$I$5,,-1)</f>
        <v>1</v>
      </c>
      <c r="E221">
        <f>_xlfn.XLOOKUP(insurance_policy_data!M170,Sheet2!$K$3:$K$7,Sheet2!$L$3:$L$7,,-1)</f>
        <v>1.39</v>
      </c>
      <c r="F221">
        <f>_xlfn.XLOOKUP(insurance_policy_data!H170,Sheet2!$N$3:$N$9,Sheet2!$O$3:$O$9,,-1)</f>
        <v>1.29</v>
      </c>
      <c r="G221">
        <f>_xlfn.XLOOKUP(insurance_policy_data!L170,Sheet2!$Q$3:$Q$4,Sheet2!$R$3:$R$4)</f>
        <v>1.5</v>
      </c>
      <c r="H221">
        <f>_xlfn.XLOOKUP(insurance_policy_data!N170,Sheet2!$T$3:$T$5,Sheet2!$U$3:$U$5,,-1)</f>
        <v>1.2</v>
      </c>
      <c r="I221">
        <f t="shared" si="3"/>
        <v>449.79554880000001</v>
      </c>
    </row>
    <row r="222" spans="2:9" x14ac:dyDescent="0.3">
      <c r="B222">
        <f>_xlfn.XLOOKUP(insurance_policy_data!B117,Sheet2!$B$3:$B$8,Sheet2!$C$3:$C$8,,-1)</f>
        <v>1.27</v>
      </c>
      <c r="C222">
        <f>_xlfn.XLOOKUP(insurance_policy_data!I117,Sheet2!$E$3:$E$7,Sheet2!$F$3:$F$7,,-1)</f>
        <v>1.25</v>
      </c>
      <c r="D222">
        <f>_xlfn.XLOOKUP(insurance_policy_data!P117,Sheet2!$H$3:$H$5,Sheet2!$I$3:$I$5,,-1)</f>
        <v>1.45</v>
      </c>
      <c r="E222">
        <f>_xlfn.XLOOKUP(insurance_policy_data!M117,Sheet2!$K$3:$K$7,Sheet2!$L$3:$L$7,,-1)</f>
        <v>1.39</v>
      </c>
      <c r="F222">
        <f>_xlfn.XLOOKUP(insurance_policy_data!H117,Sheet2!$N$3:$N$9,Sheet2!$O$3:$O$9,,-1)</f>
        <v>1.2</v>
      </c>
      <c r="G222">
        <f>_xlfn.XLOOKUP(insurance_policy_data!L117,Sheet2!$Q$3:$Q$4,Sheet2!$R$3:$R$4)</f>
        <v>1.5</v>
      </c>
      <c r="H222">
        <f>_xlfn.XLOOKUP(insurance_policy_data!N117,Sheet2!$T$3:$T$5,Sheet2!$U$3:$U$5,,-1)</f>
        <v>1</v>
      </c>
      <c r="I222">
        <f t="shared" si="3"/>
        <v>460.74329999999986</v>
      </c>
    </row>
    <row r="223" spans="2:9" x14ac:dyDescent="0.3">
      <c r="B223">
        <f>_xlfn.XLOOKUP(insurance_policy_data!B65,Sheet2!$B$3:$B$8,Sheet2!$C$3:$C$8,,-1)</f>
        <v>1.34</v>
      </c>
      <c r="C223">
        <f>_xlfn.XLOOKUP(insurance_policy_data!I65,Sheet2!$E$3:$E$7,Sheet2!$F$3:$F$7,,-1)</f>
        <v>1.3</v>
      </c>
      <c r="D223">
        <f>_xlfn.XLOOKUP(insurance_policy_data!P65,Sheet2!$H$3:$H$5,Sheet2!$I$3:$I$5,,-1)</f>
        <v>1.45</v>
      </c>
      <c r="E223">
        <f>_xlfn.XLOOKUP(insurance_policy_data!M65,Sheet2!$K$3:$K$7,Sheet2!$L$3:$L$7,,-1)</f>
        <v>1.26</v>
      </c>
      <c r="F223">
        <f>_xlfn.XLOOKUP(insurance_policy_data!H65,Sheet2!$N$3:$N$9,Sheet2!$O$3:$O$9,,-1)</f>
        <v>1.1000000000000001</v>
      </c>
      <c r="G223">
        <f>_xlfn.XLOOKUP(insurance_policy_data!L65,Sheet2!$Q$3:$Q$4,Sheet2!$R$3:$R$4)</f>
        <v>1.5</v>
      </c>
      <c r="H223">
        <f>_xlfn.XLOOKUP(insurance_policy_data!N65,Sheet2!$T$3:$T$5,Sheet2!$U$3:$U$5,,-1)</f>
        <v>1.1000000000000001</v>
      </c>
      <c r="I223">
        <f t="shared" si="3"/>
        <v>462.1184568000001</v>
      </c>
    </row>
    <row r="224" spans="2:9" x14ac:dyDescent="0.3">
      <c r="B224">
        <f>_xlfn.XLOOKUP(insurance_policy_data!B181,Sheet2!$B$3:$B$8,Sheet2!$C$3:$C$8,,-1)</f>
        <v>1.34</v>
      </c>
      <c r="C224">
        <f>_xlfn.XLOOKUP(insurance_policy_data!I181,Sheet2!$E$3:$E$7,Sheet2!$F$3:$F$7,,-1)</f>
        <v>1.3</v>
      </c>
      <c r="D224">
        <f>_xlfn.XLOOKUP(insurance_policy_data!P181,Sheet2!$H$3:$H$5,Sheet2!$I$3:$I$5,,-1)</f>
        <v>1.45</v>
      </c>
      <c r="E224">
        <f>_xlfn.XLOOKUP(insurance_policy_data!M181,Sheet2!$K$3:$K$7,Sheet2!$L$3:$L$7,,-1)</f>
        <v>1.26</v>
      </c>
      <c r="F224">
        <f>_xlfn.XLOOKUP(insurance_policy_data!H181,Sheet2!$N$3:$N$9,Sheet2!$O$3:$O$9,,-1)</f>
        <v>1.1000000000000001</v>
      </c>
      <c r="G224">
        <f>_xlfn.XLOOKUP(insurance_policy_data!L181,Sheet2!$Q$3:$Q$4,Sheet2!$R$3:$R$4)</f>
        <v>1.5</v>
      </c>
      <c r="H224">
        <f>_xlfn.XLOOKUP(insurance_policy_data!N181,Sheet2!$T$3:$T$5,Sheet2!$U$3:$U$5,,-1)</f>
        <v>1.1000000000000001</v>
      </c>
      <c r="I224">
        <f t="shared" si="3"/>
        <v>462.1184568000001</v>
      </c>
    </row>
    <row r="225" spans="2:9" x14ac:dyDescent="0.3">
      <c r="B225">
        <f>_xlfn.XLOOKUP(insurance_policy_data!B101,Sheet2!$B$3:$B$8,Sheet2!$C$3:$C$8,,-1)</f>
        <v>1.34</v>
      </c>
      <c r="C225">
        <f>_xlfn.XLOOKUP(insurance_policy_data!I101,Sheet2!$E$3:$E$7,Sheet2!$F$3:$F$7,,-1)</f>
        <v>1.3</v>
      </c>
      <c r="D225">
        <f>_xlfn.XLOOKUP(insurance_policy_data!P101,Sheet2!$H$3:$H$5,Sheet2!$I$3:$I$5,,-1)</f>
        <v>1.45</v>
      </c>
      <c r="E225">
        <f>_xlfn.XLOOKUP(insurance_policy_data!M101,Sheet2!$K$3:$K$7,Sheet2!$L$3:$L$7,,-1)</f>
        <v>1.4</v>
      </c>
      <c r="F225">
        <f>_xlfn.XLOOKUP(insurance_policy_data!H101,Sheet2!$N$3:$N$9,Sheet2!$O$3:$O$9,,-1)</f>
        <v>1.1000000000000001</v>
      </c>
      <c r="G225">
        <f>_xlfn.XLOOKUP(insurance_policy_data!L101,Sheet2!$Q$3:$Q$4,Sheet2!$R$3:$R$4)</f>
        <v>1.5</v>
      </c>
      <c r="H225">
        <f>_xlfn.XLOOKUP(insurance_policy_data!N101,Sheet2!$T$3:$T$5,Sheet2!$U$3:$U$5,,-1)</f>
        <v>1</v>
      </c>
      <c r="I225">
        <f t="shared" si="3"/>
        <v>466.78631999999999</v>
      </c>
    </row>
    <row r="226" spans="2:9" x14ac:dyDescent="0.3">
      <c r="B226">
        <f>_xlfn.XLOOKUP(insurance_policy_data!B182,Sheet2!$B$3:$B$8,Sheet2!$C$3:$C$8,,-1)</f>
        <v>1.25</v>
      </c>
      <c r="C226">
        <f>_xlfn.XLOOKUP(insurance_policy_data!I182,Sheet2!$E$3:$E$7,Sheet2!$F$3:$F$7,,-1)</f>
        <v>1.25</v>
      </c>
      <c r="D226">
        <f>_xlfn.XLOOKUP(insurance_policy_data!P182,Sheet2!$H$3:$H$5,Sheet2!$I$3:$I$5,,-1)</f>
        <v>1.45</v>
      </c>
      <c r="E226">
        <f>_xlfn.XLOOKUP(insurance_policy_data!M182,Sheet2!$K$3:$K$7,Sheet2!$L$3:$L$7,,-1)</f>
        <v>1.39</v>
      </c>
      <c r="F226">
        <f>_xlfn.XLOOKUP(insurance_policy_data!H182,Sheet2!$N$3:$N$9,Sheet2!$O$3:$O$9,,-1)</f>
        <v>1.25</v>
      </c>
      <c r="G226">
        <f>_xlfn.XLOOKUP(insurance_policy_data!L182,Sheet2!$Q$3:$Q$4,Sheet2!$R$3:$R$4)</f>
        <v>1.5</v>
      </c>
      <c r="H226">
        <f>_xlfn.XLOOKUP(insurance_policy_data!N182,Sheet2!$T$3:$T$5,Sheet2!$U$3:$U$5,,-1)</f>
        <v>1</v>
      </c>
      <c r="I226">
        <f t="shared" si="3"/>
        <v>472.38281249999994</v>
      </c>
    </row>
    <row r="227" spans="2:9" x14ac:dyDescent="0.3">
      <c r="B227">
        <f>_xlfn.XLOOKUP(insurance_policy_data!B85,Sheet2!$B$3:$B$8,Sheet2!$C$3:$C$8,,-1)</f>
        <v>1.27</v>
      </c>
      <c r="C227">
        <f>_xlfn.XLOOKUP(insurance_policy_data!I85,Sheet2!$E$3:$E$7,Sheet2!$F$3:$F$7,,-1)</f>
        <v>1.25</v>
      </c>
      <c r="D227">
        <f>_xlfn.XLOOKUP(insurance_policy_data!P85,Sheet2!$H$3:$H$5,Sheet2!$I$3:$I$5,,-1)</f>
        <v>1.45</v>
      </c>
      <c r="E227">
        <f>_xlfn.XLOOKUP(insurance_policy_data!M85,Sheet2!$K$3:$K$7,Sheet2!$L$3:$L$7,,-1)</f>
        <v>1.3</v>
      </c>
      <c r="F227">
        <f>_xlfn.XLOOKUP(insurance_policy_data!H85,Sheet2!$N$3:$N$9,Sheet2!$O$3:$O$9,,-1)</f>
        <v>1.1000000000000001</v>
      </c>
      <c r="G227">
        <f>_xlfn.XLOOKUP(insurance_policy_data!L85,Sheet2!$Q$3:$Q$4,Sheet2!$R$3:$R$4)</f>
        <v>1.5</v>
      </c>
      <c r="H227">
        <f>_xlfn.XLOOKUP(insurance_policy_data!N85,Sheet2!$T$3:$T$5,Sheet2!$U$3:$U$5,,-1)</f>
        <v>1.2</v>
      </c>
      <c r="I227">
        <f t="shared" si="3"/>
        <v>474.00209999999993</v>
      </c>
    </row>
    <row r="228" spans="2:9" x14ac:dyDescent="0.3">
      <c r="B228">
        <f>_xlfn.XLOOKUP(insurance_policy_data!B179,Sheet2!$B$3:$B$8,Sheet2!$C$3:$C$8,,-1)</f>
        <v>1.27</v>
      </c>
      <c r="C228">
        <f>_xlfn.XLOOKUP(insurance_policy_data!I179,Sheet2!$E$3:$E$7,Sheet2!$F$3:$F$7,,-1)</f>
        <v>1.25</v>
      </c>
      <c r="D228">
        <f>_xlfn.XLOOKUP(insurance_policy_data!P179,Sheet2!$H$3:$H$5,Sheet2!$I$3:$I$5,,-1)</f>
        <v>1.45</v>
      </c>
      <c r="E228">
        <f>_xlfn.XLOOKUP(insurance_policy_data!M179,Sheet2!$K$3:$K$7,Sheet2!$L$3:$L$7,,-1)</f>
        <v>1.3</v>
      </c>
      <c r="F228">
        <f>_xlfn.XLOOKUP(insurance_policy_data!H179,Sheet2!$N$3:$N$9,Sheet2!$O$3:$O$9,,-1)</f>
        <v>1.1000000000000001</v>
      </c>
      <c r="G228">
        <f>_xlfn.XLOOKUP(insurance_policy_data!L179,Sheet2!$Q$3:$Q$4,Sheet2!$R$3:$R$4)</f>
        <v>1.5</v>
      </c>
      <c r="H228">
        <f>_xlfn.XLOOKUP(insurance_policy_data!N179,Sheet2!$T$3:$T$5,Sheet2!$U$3:$U$5,,-1)</f>
        <v>1.2</v>
      </c>
      <c r="I228">
        <f t="shared" si="3"/>
        <v>474.00209999999993</v>
      </c>
    </row>
    <row r="229" spans="2:9" x14ac:dyDescent="0.3">
      <c r="B229">
        <f>_xlfn.XLOOKUP(insurance_policy_data!B246,Sheet2!$B$3:$B$8,Sheet2!$C$3:$C$8,,-1)</f>
        <v>1.25</v>
      </c>
      <c r="C229">
        <f>_xlfn.XLOOKUP(insurance_policy_data!I246,Sheet2!$E$3:$E$7,Sheet2!$F$3:$F$7,,-1)</f>
        <v>1.3</v>
      </c>
      <c r="D229">
        <f>_xlfn.XLOOKUP(insurance_policy_data!P246,Sheet2!$H$3:$H$5,Sheet2!$I$3:$I$5,,-1)</f>
        <v>1.45</v>
      </c>
      <c r="E229">
        <f>_xlfn.XLOOKUP(insurance_policy_data!M246,Sheet2!$K$3:$K$7,Sheet2!$L$3:$L$7,,-1)</f>
        <v>1.3</v>
      </c>
      <c r="F229">
        <f>_xlfn.XLOOKUP(insurance_policy_data!H246,Sheet2!$N$3:$N$9,Sheet2!$O$3:$O$9,,-1)</f>
        <v>1.29</v>
      </c>
      <c r="G229">
        <f>_xlfn.XLOOKUP(insurance_policy_data!L246,Sheet2!$Q$3:$Q$4,Sheet2!$R$3:$R$4)</f>
        <v>1.5</v>
      </c>
      <c r="H229">
        <f>_xlfn.XLOOKUP(insurance_policy_data!N246,Sheet2!$T$3:$T$5,Sheet2!$U$3:$U$5,,-1)</f>
        <v>1</v>
      </c>
      <c r="I229">
        <f t="shared" si="3"/>
        <v>474.17174999999997</v>
      </c>
    </row>
    <row r="230" spans="2:9" x14ac:dyDescent="0.3">
      <c r="B230">
        <f>_xlfn.XLOOKUP(insurance_policy_data!B102,Sheet2!$B$3:$B$8,Sheet2!$C$3:$C$8,,-1)</f>
        <v>1.35</v>
      </c>
      <c r="C230">
        <f>_xlfn.XLOOKUP(insurance_policy_data!I102,Sheet2!$E$3:$E$7,Sheet2!$F$3:$F$7,,-1)</f>
        <v>1.3</v>
      </c>
      <c r="D230">
        <f>_xlfn.XLOOKUP(insurance_policy_data!P102,Sheet2!$H$3:$H$5,Sheet2!$I$3:$I$5,,-1)</f>
        <v>1.45</v>
      </c>
      <c r="E230">
        <f>_xlfn.XLOOKUP(insurance_policy_data!M102,Sheet2!$K$3:$K$7,Sheet2!$L$3:$L$7,,-1)</f>
        <v>1.3</v>
      </c>
      <c r="F230">
        <f>_xlfn.XLOOKUP(insurance_policy_data!H102,Sheet2!$N$3:$N$9,Sheet2!$O$3:$O$9,,-1)</f>
        <v>1.2</v>
      </c>
      <c r="G230">
        <f>_xlfn.XLOOKUP(insurance_policy_data!L102,Sheet2!$Q$3:$Q$4,Sheet2!$R$3:$R$4)</f>
        <v>1.5</v>
      </c>
      <c r="H230">
        <f>_xlfn.XLOOKUP(insurance_policy_data!N102,Sheet2!$T$3:$T$5,Sheet2!$U$3:$U$5,,-1)</f>
        <v>1</v>
      </c>
      <c r="I230">
        <f t="shared" si="3"/>
        <v>476.37720000000002</v>
      </c>
    </row>
    <row r="231" spans="2:9" x14ac:dyDescent="0.3">
      <c r="B231">
        <f>_xlfn.XLOOKUP(insurance_policy_data!B262,Sheet2!$B$3:$B$8,Sheet2!$C$3:$C$8,,-1)</f>
        <v>1.34</v>
      </c>
      <c r="C231">
        <f>_xlfn.XLOOKUP(insurance_policy_data!I262,Sheet2!$E$3:$E$7,Sheet2!$F$3:$F$7,,-1)</f>
        <v>1.3</v>
      </c>
      <c r="D231">
        <f>_xlfn.XLOOKUP(insurance_policy_data!P262,Sheet2!$H$3:$H$5,Sheet2!$I$3:$I$5,,-1)</f>
        <v>1.45</v>
      </c>
      <c r="E231">
        <f>_xlfn.XLOOKUP(insurance_policy_data!M262,Sheet2!$K$3:$K$7,Sheet2!$L$3:$L$7,,-1)</f>
        <v>1.3</v>
      </c>
      <c r="F231">
        <f>_xlfn.XLOOKUP(insurance_policy_data!H262,Sheet2!$N$3:$N$9,Sheet2!$O$3:$O$9,,-1)</f>
        <v>1.1000000000000001</v>
      </c>
      <c r="G231">
        <f>_xlfn.XLOOKUP(insurance_policy_data!L262,Sheet2!$Q$3:$Q$4,Sheet2!$R$3:$R$4)</f>
        <v>1.5</v>
      </c>
      <c r="H231">
        <f>_xlfn.XLOOKUP(insurance_policy_data!N262,Sheet2!$T$3:$T$5,Sheet2!$U$3:$U$5,,-1)</f>
        <v>1.1000000000000001</v>
      </c>
      <c r="I231">
        <f t="shared" si="3"/>
        <v>476.78888400000011</v>
      </c>
    </row>
    <row r="232" spans="2:9" x14ac:dyDescent="0.3">
      <c r="B232">
        <f>_xlfn.XLOOKUP(insurance_policy_data!B269,Sheet2!$B$3:$B$8,Sheet2!$C$3:$C$8,,-1)</f>
        <v>1.34</v>
      </c>
      <c r="C232">
        <f>_xlfn.XLOOKUP(insurance_policy_data!I269,Sheet2!$E$3:$E$7,Sheet2!$F$3:$F$7,,-1)</f>
        <v>1.3</v>
      </c>
      <c r="D232">
        <f>_xlfn.XLOOKUP(insurance_policy_data!P269,Sheet2!$H$3:$H$5,Sheet2!$I$3:$I$5,,-1)</f>
        <v>1.45</v>
      </c>
      <c r="E232">
        <f>_xlfn.XLOOKUP(insurance_policy_data!M269,Sheet2!$K$3:$K$7,Sheet2!$L$3:$L$7,,-1)</f>
        <v>1.3</v>
      </c>
      <c r="F232">
        <f>_xlfn.XLOOKUP(insurance_policy_data!H269,Sheet2!$N$3:$N$9,Sheet2!$O$3:$O$9,,-1)</f>
        <v>1.1000000000000001</v>
      </c>
      <c r="G232">
        <f>_xlfn.XLOOKUP(insurance_policy_data!L269,Sheet2!$Q$3:$Q$4,Sheet2!$R$3:$R$4)</f>
        <v>1.5</v>
      </c>
      <c r="H232">
        <f>_xlfn.XLOOKUP(insurance_policy_data!N269,Sheet2!$T$3:$T$5,Sheet2!$U$3:$U$5,,-1)</f>
        <v>1.1000000000000001</v>
      </c>
      <c r="I232">
        <f t="shared" si="3"/>
        <v>476.78888400000011</v>
      </c>
    </row>
    <row r="233" spans="2:9" x14ac:dyDescent="0.3">
      <c r="B233">
        <f>_xlfn.XLOOKUP(insurance_policy_data!B305,Sheet2!$B$3:$B$8,Sheet2!$C$3:$C$8,,-1)</f>
        <v>1.35</v>
      </c>
      <c r="C233">
        <f>_xlfn.XLOOKUP(insurance_policy_data!I305,Sheet2!$E$3:$E$7,Sheet2!$F$3:$F$7,,-1)</f>
        <v>1.3</v>
      </c>
      <c r="D233">
        <f>_xlfn.XLOOKUP(insurance_policy_data!P305,Sheet2!$H$3:$H$5,Sheet2!$I$3:$I$5,,-1)</f>
        <v>1.45</v>
      </c>
      <c r="E233">
        <f>_xlfn.XLOOKUP(insurance_policy_data!M305,Sheet2!$K$3:$K$7,Sheet2!$L$3:$L$7,,-1)</f>
        <v>1.3</v>
      </c>
      <c r="F233">
        <f>_xlfn.XLOOKUP(insurance_policy_data!H305,Sheet2!$N$3:$N$9,Sheet2!$O$3:$O$9,,-1)</f>
        <v>1.1000000000000001</v>
      </c>
      <c r="G233">
        <f>_xlfn.XLOOKUP(insurance_policy_data!L305,Sheet2!$Q$3:$Q$4,Sheet2!$R$3:$R$4)</f>
        <v>1.5</v>
      </c>
      <c r="H233">
        <f>_xlfn.XLOOKUP(insurance_policy_data!N305,Sheet2!$T$3:$T$5,Sheet2!$U$3:$U$5,,-1)</f>
        <v>1.1000000000000001</v>
      </c>
      <c r="I233">
        <f t="shared" si="3"/>
        <v>480.34701000000013</v>
      </c>
    </row>
    <row r="234" spans="2:9" x14ac:dyDescent="0.3">
      <c r="B234">
        <f>_xlfn.XLOOKUP(insurance_policy_data!B259,Sheet2!$B$3:$B$8,Sheet2!$C$3:$C$8,,-1)</f>
        <v>1.21</v>
      </c>
      <c r="C234">
        <f>_xlfn.XLOOKUP(insurance_policy_data!I259,Sheet2!$E$3:$E$7,Sheet2!$F$3:$F$7,,-1)</f>
        <v>1.25</v>
      </c>
      <c r="D234">
        <f>_xlfn.XLOOKUP(insurance_policy_data!P259,Sheet2!$H$3:$H$5,Sheet2!$I$3:$I$5,,-1)</f>
        <v>1.45</v>
      </c>
      <c r="E234">
        <f>_xlfn.XLOOKUP(insurance_policy_data!M259,Sheet2!$K$3:$K$7,Sheet2!$L$3:$L$7,,-1)</f>
        <v>1.39</v>
      </c>
      <c r="F234">
        <f>_xlfn.XLOOKUP(insurance_policy_data!H259,Sheet2!$N$3:$N$9,Sheet2!$O$3:$O$9,,-1)</f>
        <v>1.1000000000000001</v>
      </c>
      <c r="G234">
        <f>_xlfn.XLOOKUP(insurance_policy_data!L259,Sheet2!$Q$3:$Q$4,Sheet2!$R$3:$R$4)</f>
        <v>1.5</v>
      </c>
      <c r="H234">
        <f>_xlfn.XLOOKUP(insurance_policy_data!N259,Sheet2!$T$3:$T$5,Sheet2!$U$3:$U$5,,-1)</f>
        <v>1.2</v>
      </c>
      <c r="I234">
        <f t="shared" si="3"/>
        <v>482.87349</v>
      </c>
    </row>
    <row r="235" spans="2:9" x14ac:dyDescent="0.3">
      <c r="B235">
        <f>_xlfn.XLOOKUP(insurance_policy_data!B23,Sheet2!$B$3:$B$8,Sheet2!$C$3:$C$8,,-1)</f>
        <v>1.28</v>
      </c>
      <c r="C235">
        <f>_xlfn.XLOOKUP(insurance_policy_data!I23,Sheet2!$E$3:$E$7,Sheet2!$F$3:$F$7,,-1)</f>
        <v>1.25</v>
      </c>
      <c r="D235">
        <f>_xlfn.XLOOKUP(insurance_policy_data!P23,Sheet2!$H$3:$H$5,Sheet2!$I$3:$I$5,,-1)</f>
        <v>1.45</v>
      </c>
      <c r="E235">
        <f>_xlfn.XLOOKUP(insurance_policy_data!M23,Sheet2!$K$3:$K$7,Sheet2!$L$3:$L$7,,-1)</f>
        <v>1.39</v>
      </c>
      <c r="F235">
        <f>_xlfn.XLOOKUP(insurance_policy_data!H23,Sheet2!$N$3:$N$9,Sheet2!$O$3:$O$9,,-1)</f>
        <v>1.25</v>
      </c>
      <c r="G235">
        <f>_xlfn.XLOOKUP(insurance_policy_data!L23,Sheet2!$Q$3:$Q$4,Sheet2!$R$3:$R$4)</f>
        <v>1.5</v>
      </c>
      <c r="H235">
        <f>_xlfn.XLOOKUP(insurance_policy_data!N23,Sheet2!$T$3:$T$5,Sheet2!$U$3:$U$5,,-1)</f>
        <v>1</v>
      </c>
      <c r="I235">
        <f t="shared" si="3"/>
        <v>483.72</v>
      </c>
    </row>
    <row r="236" spans="2:9" x14ac:dyDescent="0.3">
      <c r="B236">
        <f>_xlfn.XLOOKUP(insurance_policy_data!B263,Sheet2!$B$3:$B$8,Sheet2!$C$3:$C$8,,-1)</f>
        <v>1.35</v>
      </c>
      <c r="C236">
        <f>_xlfn.XLOOKUP(insurance_policy_data!I263,Sheet2!$E$3:$E$7,Sheet2!$F$3:$F$7,,-1)</f>
        <v>1.31</v>
      </c>
      <c r="D236">
        <f>_xlfn.XLOOKUP(insurance_policy_data!P263,Sheet2!$H$3:$H$5,Sheet2!$I$3:$I$5,,-1)</f>
        <v>1.45</v>
      </c>
      <c r="E236">
        <f>_xlfn.XLOOKUP(insurance_policy_data!M263,Sheet2!$K$3:$K$7,Sheet2!$L$3:$L$7,,-1)</f>
        <v>1.26</v>
      </c>
      <c r="F236">
        <f>_xlfn.XLOOKUP(insurance_policy_data!H263,Sheet2!$N$3:$N$9,Sheet2!$O$3:$O$9,,-1)</f>
        <v>1.25</v>
      </c>
      <c r="G236">
        <f>_xlfn.XLOOKUP(insurance_policy_data!L263,Sheet2!$Q$3:$Q$4,Sheet2!$R$3:$R$4)</f>
        <v>1.5</v>
      </c>
      <c r="H236">
        <f>_xlfn.XLOOKUP(insurance_policy_data!N263,Sheet2!$T$3:$T$5,Sheet2!$U$3:$U$5,,-1)</f>
        <v>1</v>
      </c>
      <c r="I236">
        <f t="shared" si="3"/>
        <v>484.65742500000005</v>
      </c>
    </row>
    <row r="237" spans="2:9" x14ac:dyDescent="0.3">
      <c r="B237">
        <f>_xlfn.XLOOKUP(insurance_policy_data!B237,Sheet2!$B$3:$B$8,Sheet2!$C$3:$C$8,,-1)</f>
        <v>1.21</v>
      </c>
      <c r="C237">
        <f>_xlfn.XLOOKUP(insurance_policy_data!I237,Sheet2!$E$3:$E$7,Sheet2!$F$3:$F$7,,-1)</f>
        <v>1.25</v>
      </c>
      <c r="D237">
        <f>_xlfn.XLOOKUP(insurance_policy_data!P237,Sheet2!$H$3:$H$5,Sheet2!$I$3:$I$5,,-1)</f>
        <v>1.45</v>
      </c>
      <c r="E237">
        <f>_xlfn.XLOOKUP(insurance_policy_data!M237,Sheet2!$K$3:$K$7,Sheet2!$L$3:$L$7,,-1)</f>
        <v>1.3</v>
      </c>
      <c r="F237">
        <f>_xlfn.XLOOKUP(insurance_policy_data!H237,Sheet2!$N$3:$N$9,Sheet2!$O$3:$O$9,,-1)</f>
        <v>1.29</v>
      </c>
      <c r="G237">
        <f>_xlfn.XLOOKUP(insurance_policy_data!L237,Sheet2!$Q$3:$Q$4,Sheet2!$R$3:$R$4)</f>
        <v>1.5</v>
      </c>
      <c r="H237">
        <f>_xlfn.XLOOKUP(insurance_policy_data!N237,Sheet2!$T$3:$T$5,Sheet2!$U$3:$U$5,,-1)</f>
        <v>1.1000000000000001</v>
      </c>
      <c r="I237">
        <f t="shared" si="3"/>
        <v>485.47892249999995</v>
      </c>
    </row>
    <row r="238" spans="2:9" x14ac:dyDescent="0.3">
      <c r="B238">
        <f>_xlfn.XLOOKUP(insurance_policy_data!B313,Sheet2!$B$3:$B$8,Sheet2!$C$3:$C$8,,-1)</f>
        <v>1.21</v>
      </c>
      <c r="C238">
        <f>_xlfn.XLOOKUP(insurance_policy_data!I313,Sheet2!$E$3:$E$7,Sheet2!$F$3:$F$7,,-1)</f>
        <v>1.25</v>
      </c>
      <c r="D238">
        <f>_xlfn.XLOOKUP(insurance_policy_data!P313,Sheet2!$H$3:$H$5,Sheet2!$I$3:$I$5,,-1)</f>
        <v>1.45</v>
      </c>
      <c r="E238">
        <f>_xlfn.XLOOKUP(insurance_policy_data!M313,Sheet2!$K$3:$K$7,Sheet2!$L$3:$L$7,,-1)</f>
        <v>1.39</v>
      </c>
      <c r="F238">
        <f>_xlfn.XLOOKUP(insurance_policy_data!H313,Sheet2!$N$3:$N$9,Sheet2!$O$3:$O$9,,-1)</f>
        <v>1.33</v>
      </c>
      <c r="G238">
        <f>_xlfn.XLOOKUP(insurance_policy_data!L313,Sheet2!$Q$3:$Q$4,Sheet2!$R$3:$R$4)</f>
        <v>1.5</v>
      </c>
      <c r="H238">
        <f>_xlfn.XLOOKUP(insurance_policy_data!N313,Sheet2!$T$3:$T$5,Sheet2!$U$3:$U$5,,-1)</f>
        <v>1</v>
      </c>
      <c r="I238">
        <f t="shared" si="3"/>
        <v>486.53162249999991</v>
      </c>
    </row>
    <row r="239" spans="2:9" x14ac:dyDescent="0.3">
      <c r="B239">
        <f>_xlfn.XLOOKUP(insurance_policy_data!B144,Sheet2!$B$3:$B$8,Sheet2!$C$3:$C$8,,-1)</f>
        <v>1.35</v>
      </c>
      <c r="C239">
        <f>_xlfn.XLOOKUP(insurance_policy_data!I144,Sheet2!$E$3:$E$7,Sheet2!$F$3:$F$7,,-1)</f>
        <v>1.25</v>
      </c>
      <c r="D239">
        <f>_xlfn.XLOOKUP(insurance_policy_data!P144,Sheet2!$H$3:$H$5,Sheet2!$I$3:$I$5,,-1)</f>
        <v>1.45</v>
      </c>
      <c r="E239">
        <f>_xlfn.XLOOKUP(insurance_policy_data!M144,Sheet2!$K$3:$K$7,Sheet2!$L$3:$L$7,,-1)</f>
        <v>1.26</v>
      </c>
      <c r="F239">
        <f>_xlfn.XLOOKUP(insurance_policy_data!H144,Sheet2!$N$3:$N$9,Sheet2!$O$3:$O$9,,-1)</f>
        <v>1.1000000000000001</v>
      </c>
      <c r="G239">
        <f>_xlfn.XLOOKUP(insurance_policy_data!L144,Sheet2!$Q$3:$Q$4,Sheet2!$R$3:$R$4)</f>
        <v>1.5</v>
      </c>
      <c r="H239">
        <f>_xlfn.XLOOKUP(insurance_policy_data!N144,Sheet2!$T$3:$T$5,Sheet2!$U$3:$U$5,,-1)</f>
        <v>1.2</v>
      </c>
      <c r="I239">
        <f t="shared" si="3"/>
        <v>488.35710000000006</v>
      </c>
    </row>
    <row r="240" spans="2:9" x14ac:dyDescent="0.3">
      <c r="B240">
        <f>_xlfn.XLOOKUP(insurance_policy_data!B211,Sheet2!$B$3:$B$8,Sheet2!$C$3:$C$8,,-1)</f>
        <v>1.28</v>
      </c>
      <c r="C240">
        <f>_xlfn.XLOOKUP(insurance_policy_data!I211,Sheet2!$E$3:$E$7,Sheet2!$F$3:$F$7,,-1)</f>
        <v>1.32</v>
      </c>
      <c r="D240">
        <f>_xlfn.XLOOKUP(insurance_policy_data!P211,Sheet2!$H$3:$H$5,Sheet2!$I$3:$I$5,,-1)</f>
        <v>1.45</v>
      </c>
      <c r="E240">
        <f>_xlfn.XLOOKUP(insurance_policy_data!M211,Sheet2!$K$3:$K$7,Sheet2!$L$3:$L$7,,-1)</f>
        <v>1.26</v>
      </c>
      <c r="F240">
        <f>_xlfn.XLOOKUP(insurance_policy_data!H211,Sheet2!$N$3:$N$9,Sheet2!$O$3:$O$9,,-1)</f>
        <v>1.1000000000000001</v>
      </c>
      <c r="G240">
        <f>_xlfn.XLOOKUP(insurance_policy_data!L211,Sheet2!$Q$3:$Q$4,Sheet2!$R$3:$R$4)</f>
        <v>1.5</v>
      </c>
      <c r="H240">
        <f>_xlfn.XLOOKUP(insurance_policy_data!N211,Sheet2!$T$3:$T$5,Sheet2!$U$3:$U$5,,-1)</f>
        <v>1.2</v>
      </c>
      <c r="I240">
        <f t="shared" si="3"/>
        <v>488.96483327999999</v>
      </c>
    </row>
    <row r="241" spans="2:9" x14ac:dyDescent="0.3">
      <c r="B241">
        <f>_xlfn.XLOOKUP(insurance_policy_data!B280,Sheet2!$B$3:$B$8,Sheet2!$C$3:$C$8,,-1)</f>
        <v>1.21</v>
      </c>
      <c r="C241">
        <f>_xlfn.XLOOKUP(insurance_policy_data!I280,Sheet2!$E$3:$E$7,Sheet2!$F$3:$F$7,,-1)</f>
        <v>1.25</v>
      </c>
      <c r="D241">
        <f>_xlfn.XLOOKUP(insurance_policy_data!P280,Sheet2!$H$3:$H$5,Sheet2!$I$3:$I$5,,-1)</f>
        <v>1.45</v>
      </c>
      <c r="E241">
        <f>_xlfn.XLOOKUP(insurance_policy_data!M280,Sheet2!$K$3:$K$7,Sheet2!$L$3:$L$7,,-1)</f>
        <v>1.3</v>
      </c>
      <c r="F241">
        <f>_xlfn.XLOOKUP(insurance_policy_data!H280,Sheet2!$N$3:$N$9,Sheet2!$O$3:$O$9,,-1)</f>
        <v>1.2</v>
      </c>
      <c r="G241">
        <f>_xlfn.XLOOKUP(insurance_policy_data!L280,Sheet2!$Q$3:$Q$4,Sheet2!$R$3:$R$4)</f>
        <v>1.5</v>
      </c>
      <c r="H241">
        <f>_xlfn.XLOOKUP(insurance_policy_data!N280,Sheet2!$T$3:$T$5,Sheet2!$U$3:$U$5,,-1)</f>
        <v>1.2</v>
      </c>
      <c r="I241">
        <f t="shared" si="3"/>
        <v>492.66359999999992</v>
      </c>
    </row>
    <row r="242" spans="2:9" x14ac:dyDescent="0.3">
      <c r="B242">
        <f>_xlfn.XLOOKUP(insurance_policy_data!B88,Sheet2!$B$3:$B$8,Sheet2!$C$3:$C$8,,-1)</f>
        <v>1.25</v>
      </c>
      <c r="C242">
        <f>_xlfn.XLOOKUP(insurance_policy_data!I88,Sheet2!$E$3:$E$7,Sheet2!$F$3:$F$7,,-1)</f>
        <v>1.3</v>
      </c>
      <c r="D242">
        <f>_xlfn.XLOOKUP(insurance_policy_data!P88,Sheet2!$H$3:$H$5,Sheet2!$I$3:$I$5,,-1)</f>
        <v>1.45</v>
      </c>
      <c r="E242">
        <f>_xlfn.XLOOKUP(insurance_policy_data!M88,Sheet2!$K$3:$K$7,Sheet2!$L$3:$L$7,,-1)</f>
        <v>1.4</v>
      </c>
      <c r="F242">
        <f>_xlfn.XLOOKUP(insurance_policy_data!H88,Sheet2!$N$3:$N$9,Sheet2!$O$3:$O$9,,-1)</f>
        <v>1.25</v>
      </c>
      <c r="G242">
        <f>_xlfn.XLOOKUP(insurance_policy_data!L88,Sheet2!$Q$3:$Q$4,Sheet2!$R$3:$R$4)</f>
        <v>1.5</v>
      </c>
      <c r="H242">
        <f>_xlfn.XLOOKUP(insurance_policy_data!N88,Sheet2!$T$3:$T$5,Sheet2!$U$3:$U$5,,-1)</f>
        <v>1</v>
      </c>
      <c r="I242">
        <f t="shared" si="3"/>
        <v>494.81249999999994</v>
      </c>
    </row>
    <row r="243" spans="2:9" x14ac:dyDescent="0.3">
      <c r="B243">
        <f>_xlfn.XLOOKUP(insurance_policy_data!B190,Sheet2!$B$3:$B$8,Sheet2!$C$3:$C$8,,-1)</f>
        <v>1.25</v>
      </c>
      <c r="C243">
        <f>_xlfn.XLOOKUP(insurance_policy_data!I190,Sheet2!$E$3:$E$7,Sheet2!$F$3:$F$7,,-1)</f>
        <v>1.3</v>
      </c>
      <c r="D243">
        <f>_xlfn.XLOOKUP(insurance_policy_data!P190,Sheet2!$H$3:$H$5,Sheet2!$I$3:$I$5,,-1)</f>
        <v>1.45</v>
      </c>
      <c r="E243">
        <f>_xlfn.XLOOKUP(insurance_policy_data!M190,Sheet2!$K$3:$K$7,Sheet2!$L$3:$L$7,,-1)</f>
        <v>1.4</v>
      </c>
      <c r="F243">
        <f>_xlfn.XLOOKUP(insurance_policy_data!H190,Sheet2!$N$3:$N$9,Sheet2!$O$3:$O$9,,-1)</f>
        <v>1.25</v>
      </c>
      <c r="G243">
        <f>_xlfn.XLOOKUP(insurance_policy_data!L190,Sheet2!$Q$3:$Q$4,Sheet2!$R$3:$R$4)</f>
        <v>1.5</v>
      </c>
      <c r="H243">
        <f>_xlfn.XLOOKUP(insurance_policy_data!N190,Sheet2!$T$3:$T$5,Sheet2!$U$3:$U$5,,-1)</f>
        <v>1</v>
      </c>
      <c r="I243">
        <f t="shared" si="3"/>
        <v>494.81249999999994</v>
      </c>
    </row>
    <row r="244" spans="2:9" x14ac:dyDescent="0.3">
      <c r="B244">
        <f>_xlfn.XLOOKUP(insurance_policy_data!B89,Sheet2!$B$3:$B$8,Sheet2!$C$3:$C$8,,-1)</f>
        <v>1.21</v>
      </c>
      <c r="C244">
        <f>_xlfn.XLOOKUP(insurance_policy_data!I89,Sheet2!$E$3:$E$7,Sheet2!$F$3:$F$7,,-1)</f>
        <v>1.25</v>
      </c>
      <c r="D244">
        <f>_xlfn.XLOOKUP(insurance_policy_data!P89,Sheet2!$H$3:$H$5,Sheet2!$I$3:$I$5,,-1)</f>
        <v>1.45</v>
      </c>
      <c r="E244">
        <f>_xlfn.XLOOKUP(insurance_policy_data!M89,Sheet2!$K$3:$K$7,Sheet2!$L$3:$L$7,,-1)</f>
        <v>1.26</v>
      </c>
      <c r="F244">
        <f>_xlfn.XLOOKUP(insurance_policy_data!H89,Sheet2!$N$3:$N$9,Sheet2!$O$3:$O$9,,-1)</f>
        <v>1.36</v>
      </c>
      <c r="G244">
        <f>_xlfn.XLOOKUP(insurance_policy_data!L89,Sheet2!$Q$3:$Q$4,Sheet2!$R$3:$R$4)</f>
        <v>1.5</v>
      </c>
      <c r="H244">
        <f>_xlfn.XLOOKUP(insurance_policy_data!N89,Sheet2!$T$3:$T$5,Sheet2!$U$3:$U$5,,-1)</f>
        <v>1.1000000000000001</v>
      </c>
      <c r="I244">
        <f t="shared" si="3"/>
        <v>496.07434799999993</v>
      </c>
    </row>
    <row r="245" spans="2:9" x14ac:dyDescent="0.3">
      <c r="B245">
        <f>_xlfn.XLOOKUP(insurance_policy_data!B257,Sheet2!$B$3:$B$8,Sheet2!$C$3:$C$8,,-1)</f>
        <v>1.21</v>
      </c>
      <c r="C245">
        <f>_xlfn.XLOOKUP(insurance_policy_data!I257,Sheet2!$E$3:$E$7,Sheet2!$F$3:$F$7,,-1)</f>
        <v>1.25</v>
      </c>
      <c r="D245">
        <f>_xlfn.XLOOKUP(insurance_policy_data!P257,Sheet2!$H$3:$H$5,Sheet2!$I$3:$I$5,,-1)</f>
        <v>1.45</v>
      </c>
      <c r="E245">
        <f>_xlfn.XLOOKUP(insurance_policy_data!M257,Sheet2!$K$3:$K$7,Sheet2!$L$3:$L$7,,-1)</f>
        <v>1.26</v>
      </c>
      <c r="F245">
        <f>_xlfn.XLOOKUP(insurance_policy_data!H257,Sheet2!$N$3:$N$9,Sheet2!$O$3:$O$9,,-1)</f>
        <v>1.36</v>
      </c>
      <c r="G245">
        <f>_xlfn.XLOOKUP(insurance_policy_data!L257,Sheet2!$Q$3:$Q$4,Sheet2!$R$3:$R$4)</f>
        <v>1.5</v>
      </c>
      <c r="H245">
        <f>_xlfn.XLOOKUP(insurance_policy_data!N257,Sheet2!$T$3:$T$5,Sheet2!$U$3:$U$5,,-1)</f>
        <v>1.1000000000000001</v>
      </c>
      <c r="I245">
        <f t="shared" si="3"/>
        <v>496.07434799999993</v>
      </c>
    </row>
    <row r="246" spans="2:9" x14ac:dyDescent="0.3">
      <c r="B246">
        <f>_xlfn.XLOOKUP(insurance_policy_data!B275,Sheet2!$B$3:$B$8,Sheet2!$C$3:$C$8,,-1)</f>
        <v>1.21</v>
      </c>
      <c r="C246">
        <f>_xlfn.XLOOKUP(insurance_policy_data!I275,Sheet2!$E$3:$E$7,Sheet2!$F$3:$F$7,,-1)</f>
        <v>1.25</v>
      </c>
      <c r="D246">
        <f>_xlfn.XLOOKUP(insurance_policy_data!P275,Sheet2!$H$3:$H$5,Sheet2!$I$3:$I$5,,-1)</f>
        <v>1.45</v>
      </c>
      <c r="E246">
        <f>_xlfn.XLOOKUP(insurance_policy_data!M275,Sheet2!$K$3:$K$7,Sheet2!$L$3:$L$7,,-1)</f>
        <v>1.39</v>
      </c>
      <c r="F246">
        <f>_xlfn.XLOOKUP(insurance_policy_data!H275,Sheet2!$N$3:$N$9,Sheet2!$O$3:$O$9,,-1)</f>
        <v>1.36</v>
      </c>
      <c r="G246">
        <f>_xlfn.XLOOKUP(insurance_policy_data!L275,Sheet2!$Q$3:$Q$4,Sheet2!$R$3:$R$4)</f>
        <v>1.5</v>
      </c>
      <c r="H246">
        <f>_xlfn.XLOOKUP(insurance_policy_data!N275,Sheet2!$T$3:$T$5,Sheet2!$U$3:$U$5,,-1)</f>
        <v>1</v>
      </c>
      <c r="I246">
        <f t="shared" si="3"/>
        <v>497.50602000000003</v>
      </c>
    </row>
    <row r="247" spans="2:9" x14ac:dyDescent="0.3">
      <c r="B247">
        <f>_xlfn.XLOOKUP(insurance_policy_data!B4,Sheet2!$B$3:$B$8,Sheet2!$C$3:$C$8,,-1)</f>
        <v>1.21</v>
      </c>
      <c r="C247">
        <f>_xlfn.XLOOKUP(insurance_policy_data!I4,Sheet2!$E$3:$E$7,Sheet2!$F$3:$F$7,,-1)</f>
        <v>1.25</v>
      </c>
      <c r="D247">
        <f>_xlfn.XLOOKUP(insurance_policy_data!P4,Sheet2!$H$3:$H$5,Sheet2!$I$3:$I$5,,-1)</f>
        <v>1.45</v>
      </c>
      <c r="E247">
        <f>_xlfn.XLOOKUP(insurance_policy_data!M4,Sheet2!$K$3:$K$7,Sheet2!$L$3:$L$7,,-1)</f>
        <v>1.4</v>
      </c>
      <c r="F247">
        <f>_xlfn.XLOOKUP(insurance_policy_data!H4,Sheet2!$N$3:$N$9,Sheet2!$O$3:$O$9,,-1)</f>
        <v>1.36</v>
      </c>
      <c r="G247">
        <f>_xlfn.XLOOKUP(insurance_policy_data!L4,Sheet2!$Q$3:$Q$4,Sheet2!$R$3:$R$4)</f>
        <v>1.5</v>
      </c>
      <c r="H247">
        <f>_xlfn.XLOOKUP(insurance_policy_data!N4,Sheet2!$T$3:$T$5,Sheet2!$U$3:$U$5,,-1)</f>
        <v>1</v>
      </c>
      <c r="I247">
        <f t="shared" si="3"/>
        <v>501.08519999999999</v>
      </c>
    </row>
    <row r="248" spans="2:9" x14ac:dyDescent="0.3">
      <c r="B248">
        <f>_xlfn.XLOOKUP(insurance_policy_data!B48,Sheet2!$B$3:$B$8,Sheet2!$C$3:$C$8,,-1)</f>
        <v>1.21</v>
      </c>
      <c r="C248">
        <f>_xlfn.XLOOKUP(insurance_policy_data!I48,Sheet2!$E$3:$E$7,Sheet2!$F$3:$F$7,,-1)</f>
        <v>1.25</v>
      </c>
      <c r="D248">
        <f>_xlfn.XLOOKUP(insurance_policy_data!P48,Sheet2!$H$3:$H$5,Sheet2!$I$3:$I$5,,-1)</f>
        <v>1.45</v>
      </c>
      <c r="E248">
        <f>_xlfn.XLOOKUP(insurance_policy_data!M48,Sheet2!$K$3:$K$7,Sheet2!$L$3:$L$7,,-1)</f>
        <v>1.4</v>
      </c>
      <c r="F248">
        <f>_xlfn.XLOOKUP(insurance_policy_data!H48,Sheet2!$N$3:$N$9,Sheet2!$O$3:$O$9,,-1)</f>
        <v>1.36</v>
      </c>
      <c r="G248">
        <f>_xlfn.XLOOKUP(insurance_policy_data!L48,Sheet2!$Q$3:$Q$4,Sheet2!$R$3:$R$4)</f>
        <v>1.5</v>
      </c>
      <c r="H248">
        <f>_xlfn.XLOOKUP(insurance_policy_data!N48,Sheet2!$T$3:$T$5,Sheet2!$U$3:$U$5,,-1)</f>
        <v>1</v>
      </c>
      <c r="I248">
        <f t="shared" si="3"/>
        <v>501.08519999999999</v>
      </c>
    </row>
    <row r="249" spans="2:9" x14ac:dyDescent="0.3">
      <c r="B249">
        <f>_xlfn.XLOOKUP(insurance_policy_data!B19,Sheet2!$B$3:$B$8,Sheet2!$C$3:$C$8,,-1)</f>
        <v>1.25</v>
      </c>
      <c r="C249">
        <f>_xlfn.XLOOKUP(insurance_policy_data!I19,Sheet2!$E$3:$E$7,Sheet2!$F$3:$F$7,,-1)</f>
        <v>1.25</v>
      </c>
      <c r="D249">
        <f>_xlfn.XLOOKUP(insurance_policy_data!P19,Sheet2!$H$3:$H$5,Sheet2!$I$3:$I$5,,-1)</f>
        <v>1.45</v>
      </c>
      <c r="E249">
        <f>_xlfn.XLOOKUP(insurance_policy_data!M19,Sheet2!$K$3:$K$7,Sheet2!$L$3:$L$7,,-1)</f>
        <v>1.26</v>
      </c>
      <c r="F249">
        <f>_xlfn.XLOOKUP(insurance_policy_data!H19,Sheet2!$N$3:$N$9,Sheet2!$O$3:$O$9,,-1)</f>
        <v>1.33</v>
      </c>
      <c r="G249">
        <f>_xlfn.XLOOKUP(insurance_policy_data!L19,Sheet2!$Q$3:$Q$4,Sheet2!$R$3:$R$4)</f>
        <v>1.5</v>
      </c>
      <c r="H249">
        <f>_xlfn.XLOOKUP(insurance_policy_data!N19,Sheet2!$T$3:$T$5,Sheet2!$U$3:$U$5,,-1)</f>
        <v>1.1000000000000001</v>
      </c>
      <c r="I249">
        <f t="shared" si="3"/>
        <v>501.16893750000003</v>
      </c>
    </row>
    <row r="250" spans="2:9" x14ac:dyDescent="0.3">
      <c r="B250">
        <f>_xlfn.XLOOKUP(insurance_policy_data!B49,Sheet2!$B$3:$B$8,Sheet2!$C$3:$C$8,,-1)</f>
        <v>1.21</v>
      </c>
      <c r="C250">
        <f>_xlfn.XLOOKUP(insurance_policy_data!I49,Sheet2!$E$3:$E$7,Sheet2!$F$3:$F$7,,-1)</f>
        <v>1.25</v>
      </c>
      <c r="D250">
        <f>_xlfn.XLOOKUP(insurance_policy_data!P49,Sheet2!$H$3:$H$5,Sheet2!$I$3:$I$5,,-1)</f>
        <v>1.45</v>
      </c>
      <c r="E250">
        <f>_xlfn.XLOOKUP(insurance_policy_data!M49,Sheet2!$K$3:$K$7,Sheet2!$L$3:$L$7,,-1)</f>
        <v>1.39</v>
      </c>
      <c r="F250">
        <f>_xlfn.XLOOKUP(insurance_policy_data!H49,Sheet2!$N$3:$N$9,Sheet2!$O$3:$O$9,,-1)</f>
        <v>1.25</v>
      </c>
      <c r="G250">
        <f>_xlfn.XLOOKUP(insurance_policy_data!L49,Sheet2!$Q$3:$Q$4,Sheet2!$R$3:$R$4)</f>
        <v>1.5</v>
      </c>
      <c r="H250">
        <f>_xlfn.XLOOKUP(insurance_policy_data!N49,Sheet2!$T$3:$T$5,Sheet2!$U$3:$U$5,,-1)</f>
        <v>1.1000000000000001</v>
      </c>
      <c r="I250">
        <f t="shared" si="3"/>
        <v>502.99321875000004</v>
      </c>
    </row>
    <row r="251" spans="2:9" x14ac:dyDescent="0.3">
      <c r="B251">
        <f>_xlfn.XLOOKUP(insurance_policy_data!B94,Sheet2!$B$3:$B$8,Sheet2!$C$3:$C$8,,-1)</f>
        <v>1.21</v>
      </c>
      <c r="C251">
        <f>_xlfn.XLOOKUP(insurance_policy_data!I94,Sheet2!$E$3:$E$7,Sheet2!$F$3:$F$7,,-1)</f>
        <v>1.25</v>
      </c>
      <c r="D251">
        <f>_xlfn.XLOOKUP(insurance_policy_data!P94,Sheet2!$H$3:$H$5,Sheet2!$I$3:$I$5,,-1)</f>
        <v>1.45</v>
      </c>
      <c r="E251">
        <f>_xlfn.XLOOKUP(insurance_policy_data!M94,Sheet2!$K$3:$K$7,Sheet2!$L$3:$L$7,,-1)</f>
        <v>1.39</v>
      </c>
      <c r="F251">
        <f>_xlfn.XLOOKUP(insurance_policy_data!H94,Sheet2!$N$3:$N$9,Sheet2!$O$3:$O$9,,-1)</f>
        <v>1.25</v>
      </c>
      <c r="G251">
        <f>_xlfn.XLOOKUP(insurance_policy_data!L94,Sheet2!$Q$3:$Q$4,Sheet2!$R$3:$R$4)</f>
        <v>1.5</v>
      </c>
      <c r="H251">
        <f>_xlfn.XLOOKUP(insurance_policy_data!N94,Sheet2!$T$3:$T$5,Sheet2!$U$3:$U$5,,-1)</f>
        <v>1.1000000000000001</v>
      </c>
      <c r="I251">
        <f t="shared" si="3"/>
        <v>502.99321875000004</v>
      </c>
    </row>
    <row r="252" spans="2:9" x14ac:dyDescent="0.3">
      <c r="B252">
        <f>_xlfn.XLOOKUP(insurance_policy_data!B136,Sheet2!$B$3:$B$8,Sheet2!$C$3:$C$8,,-1)</f>
        <v>1.34</v>
      </c>
      <c r="C252">
        <f>_xlfn.XLOOKUP(insurance_policy_data!I136,Sheet2!$E$3:$E$7,Sheet2!$F$3:$F$7,,-1)</f>
        <v>1.3</v>
      </c>
      <c r="D252">
        <f>_xlfn.XLOOKUP(insurance_policy_data!P136,Sheet2!$H$3:$H$5,Sheet2!$I$3:$I$5,,-1)</f>
        <v>1.45</v>
      </c>
      <c r="E252">
        <f>_xlfn.XLOOKUP(insurance_policy_data!M136,Sheet2!$K$3:$K$7,Sheet2!$L$3:$L$7,,-1)</f>
        <v>1.26</v>
      </c>
      <c r="F252">
        <f>_xlfn.XLOOKUP(insurance_policy_data!H136,Sheet2!$N$3:$N$9,Sheet2!$O$3:$O$9,,-1)</f>
        <v>1.1000000000000001</v>
      </c>
      <c r="G252">
        <f>_xlfn.XLOOKUP(insurance_policy_data!L136,Sheet2!$Q$3:$Q$4,Sheet2!$R$3:$R$4)</f>
        <v>1.5</v>
      </c>
      <c r="H252">
        <f>_xlfn.XLOOKUP(insurance_policy_data!N136,Sheet2!$T$3:$T$5,Sheet2!$U$3:$U$5,,-1)</f>
        <v>1.2</v>
      </c>
      <c r="I252">
        <f t="shared" si="3"/>
        <v>504.12922560000004</v>
      </c>
    </row>
    <row r="253" spans="2:9" x14ac:dyDescent="0.3">
      <c r="B253">
        <f>_xlfn.XLOOKUP(insurance_policy_data!B32,Sheet2!$B$3:$B$8,Sheet2!$C$3:$C$8,,-1)</f>
        <v>1.27</v>
      </c>
      <c r="C253">
        <f>_xlfn.XLOOKUP(insurance_policy_data!I32,Sheet2!$E$3:$E$7,Sheet2!$F$3:$F$7,,-1)</f>
        <v>1.25</v>
      </c>
      <c r="D253">
        <f>_xlfn.XLOOKUP(insurance_policy_data!P32,Sheet2!$H$3:$H$5,Sheet2!$I$3:$I$5,,-1)</f>
        <v>1.45</v>
      </c>
      <c r="E253">
        <f>_xlfn.XLOOKUP(insurance_policy_data!M32,Sheet2!$K$3:$K$7,Sheet2!$L$3:$L$7,,-1)</f>
        <v>1.26</v>
      </c>
      <c r="F253">
        <f>_xlfn.XLOOKUP(insurance_policy_data!H32,Sheet2!$N$3:$N$9,Sheet2!$O$3:$O$9,,-1)</f>
        <v>1.33</v>
      </c>
      <c r="G253">
        <f>_xlfn.XLOOKUP(insurance_policy_data!L32,Sheet2!$Q$3:$Q$4,Sheet2!$R$3:$R$4)</f>
        <v>1.5</v>
      </c>
      <c r="H253">
        <f>_xlfn.XLOOKUP(insurance_policy_data!N32,Sheet2!$T$3:$T$5,Sheet2!$U$3:$U$5,,-1)</f>
        <v>1.1000000000000001</v>
      </c>
      <c r="I253">
        <f t="shared" si="3"/>
        <v>509.18764050000004</v>
      </c>
    </row>
    <row r="254" spans="2:9" x14ac:dyDescent="0.3">
      <c r="B254">
        <f>_xlfn.XLOOKUP(insurance_policy_data!B310,Sheet2!$B$3:$B$8,Sheet2!$C$3:$C$8,,-1)</f>
        <v>1.34</v>
      </c>
      <c r="C254">
        <f>_xlfn.XLOOKUP(insurance_policy_data!I310,Sheet2!$E$3:$E$7,Sheet2!$F$3:$F$7,,-1)</f>
        <v>1.3</v>
      </c>
      <c r="D254">
        <f>_xlfn.XLOOKUP(insurance_policy_data!P310,Sheet2!$H$3:$H$5,Sheet2!$I$3:$I$5,,-1)</f>
        <v>1.45</v>
      </c>
      <c r="E254">
        <f>_xlfn.XLOOKUP(insurance_policy_data!M310,Sheet2!$K$3:$K$7,Sheet2!$L$3:$L$7,,-1)</f>
        <v>1.4</v>
      </c>
      <c r="F254">
        <f>_xlfn.XLOOKUP(insurance_policy_data!H310,Sheet2!$N$3:$N$9,Sheet2!$O$3:$O$9,,-1)</f>
        <v>1.2</v>
      </c>
      <c r="G254">
        <f>_xlfn.XLOOKUP(insurance_policy_data!L310,Sheet2!$Q$3:$Q$4,Sheet2!$R$3:$R$4)</f>
        <v>1.5</v>
      </c>
      <c r="H254">
        <f>_xlfn.XLOOKUP(insurance_policy_data!N310,Sheet2!$T$3:$T$5,Sheet2!$U$3:$U$5,,-1)</f>
        <v>1</v>
      </c>
      <c r="I254">
        <f t="shared" si="3"/>
        <v>509.22144000000003</v>
      </c>
    </row>
    <row r="255" spans="2:9" x14ac:dyDescent="0.3">
      <c r="B255">
        <f>_xlfn.XLOOKUP(insurance_policy_data!B92,Sheet2!$B$3:$B$8,Sheet2!$C$3:$C$8,,-1)</f>
        <v>1.27</v>
      </c>
      <c r="C255">
        <f>_xlfn.XLOOKUP(insurance_policy_data!I92,Sheet2!$E$3:$E$7,Sheet2!$F$3:$F$7,,-1)</f>
        <v>1.25</v>
      </c>
      <c r="D255">
        <f>_xlfn.XLOOKUP(insurance_policy_data!P92,Sheet2!$H$3:$H$5,Sheet2!$I$3:$I$5,,-1)</f>
        <v>1.45</v>
      </c>
      <c r="E255">
        <f>_xlfn.XLOOKUP(insurance_policy_data!M92,Sheet2!$K$3:$K$7,Sheet2!$L$3:$L$7,,-1)</f>
        <v>1.3</v>
      </c>
      <c r="F255">
        <f>_xlfn.XLOOKUP(insurance_policy_data!H92,Sheet2!$N$3:$N$9,Sheet2!$O$3:$O$9,,-1)</f>
        <v>1.29</v>
      </c>
      <c r="G255">
        <f>_xlfn.XLOOKUP(insurance_policy_data!L92,Sheet2!$Q$3:$Q$4,Sheet2!$R$3:$R$4)</f>
        <v>1.5</v>
      </c>
      <c r="H255">
        <f>_xlfn.XLOOKUP(insurance_policy_data!N92,Sheet2!$T$3:$T$5,Sheet2!$U$3:$U$5,,-1)</f>
        <v>1.1000000000000001</v>
      </c>
      <c r="I255">
        <f t="shared" si="3"/>
        <v>509.5522575</v>
      </c>
    </row>
    <row r="256" spans="2:9" x14ac:dyDescent="0.3">
      <c r="B256">
        <f>_xlfn.XLOOKUP(insurance_policy_data!B231,Sheet2!$B$3:$B$8,Sheet2!$C$3:$C$8,,-1)</f>
        <v>1.27</v>
      </c>
      <c r="C256">
        <f>_xlfn.XLOOKUP(insurance_policy_data!I231,Sheet2!$E$3:$E$7,Sheet2!$F$3:$F$7,,-1)</f>
        <v>1.25</v>
      </c>
      <c r="D256">
        <f>_xlfn.XLOOKUP(insurance_policy_data!P231,Sheet2!$H$3:$H$5,Sheet2!$I$3:$I$5,,-1)</f>
        <v>1.45</v>
      </c>
      <c r="E256">
        <f>_xlfn.XLOOKUP(insurance_policy_data!M231,Sheet2!$K$3:$K$7,Sheet2!$L$3:$L$7,,-1)</f>
        <v>1.4</v>
      </c>
      <c r="F256">
        <f>_xlfn.XLOOKUP(insurance_policy_data!H231,Sheet2!$N$3:$N$9,Sheet2!$O$3:$O$9,,-1)</f>
        <v>1.1000000000000001</v>
      </c>
      <c r="G256">
        <f>_xlfn.XLOOKUP(insurance_policy_data!L231,Sheet2!$Q$3:$Q$4,Sheet2!$R$3:$R$4)</f>
        <v>1.5</v>
      </c>
      <c r="H256">
        <f>_xlfn.XLOOKUP(insurance_policy_data!N231,Sheet2!$T$3:$T$5,Sheet2!$U$3:$U$5,,-1)</f>
        <v>1.2</v>
      </c>
      <c r="I256">
        <f t="shared" si="3"/>
        <v>510.46380000000005</v>
      </c>
    </row>
    <row r="257" spans="2:9" x14ac:dyDescent="0.3">
      <c r="B257">
        <f>_xlfn.XLOOKUP(insurance_policy_data!B297,Sheet2!$B$3:$B$8,Sheet2!$C$3:$C$8,,-1)</f>
        <v>1.27</v>
      </c>
      <c r="C257">
        <f>_xlfn.XLOOKUP(insurance_policy_data!I297,Sheet2!$E$3:$E$7,Sheet2!$F$3:$F$7,,-1)</f>
        <v>1.25</v>
      </c>
      <c r="D257">
        <f>_xlfn.XLOOKUP(insurance_policy_data!P297,Sheet2!$H$3:$H$5,Sheet2!$I$3:$I$5,,-1)</f>
        <v>1.45</v>
      </c>
      <c r="E257">
        <f>_xlfn.XLOOKUP(insurance_policy_data!M297,Sheet2!$K$3:$K$7,Sheet2!$L$3:$L$7,,-1)</f>
        <v>1.4</v>
      </c>
      <c r="F257">
        <f>_xlfn.XLOOKUP(insurance_policy_data!H297,Sheet2!$N$3:$N$9,Sheet2!$O$3:$O$9,,-1)</f>
        <v>1.2</v>
      </c>
      <c r="G257">
        <f>_xlfn.XLOOKUP(insurance_policy_data!L297,Sheet2!$Q$3:$Q$4,Sheet2!$R$3:$R$4)</f>
        <v>1.5</v>
      </c>
      <c r="H257">
        <f>_xlfn.XLOOKUP(insurance_policy_data!N297,Sheet2!$T$3:$T$5,Sheet2!$U$3:$U$5,,-1)</f>
        <v>1.1000000000000001</v>
      </c>
      <c r="I257">
        <f t="shared" si="3"/>
        <v>510.46380000000005</v>
      </c>
    </row>
    <row r="258" spans="2:9" x14ac:dyDescent="0.3">
      <c r="B258">
        <f>_xlfn.XLOOKUP(insurance_policy_data!B270,Sheet2!$B$3:$B$8,Sheet2!$C$3:$C$8,,-1)</f>
        <v>1.25</v>
      </c>
      <c r="C258">
        <f>_xlfn.XLOOKUP(insurance_policy_data!I270,Sheet2!$E$3:$E$7,Sheet2!$F$3:$F$7,,-1)</f>
        <v>1.3</v>
      </c>
      <c r="D258">
        <f>_xlfn.XLOOKUP(insurance_policy_data!P270,Sheet2!$H$3:$H$5,Sheet2!$I$3:$I$5,,-1)</f>
        <v>1.45</v>
      </c>
      <c r="E258">
        <f>_xlfn.XLOOKUP(insurance_policy_data!M270,Sheet2!$K$3:$K$7,Sheet2!$L$3:$L$7,,-1)</f>
        <v>1.4</v>
      </c>
      <c r="F258">
        <f>_xlfn.XLOOKUP(insurance_policy_data!H270,Sheet2!$N$3:$N$9,Sheet2!$O$3:$O$9,,-1)</f>
        <v>1.29</v>
      </c>
      <c r="G258">
        <f>_xlfn.XLOOKUP(insurance_policy_data!L270,Sheet2!$Q$3:$Q$4,Sheet2!$R$3:$R$4)</f>
        <v>1.5</v>
      </c>
      <c r="H258">
        <f>_xlfn.XLOOKUP(insurance_policy_data!N270,Sheet2!$T$3:$T$5,Sheet2!$U$3:$U$5,,-1)</f>
        <v>1</v>
      </c>
      <c r="I258">
        <f t="shared" si="3"/>
        <v>510.64649999999995</v>
      </c>
    </row>
    <row r="259" spans="2:9" x14ac:dyDescent="0.3">
      <c r="B259">
        <f>_xlfn.XLOOKUP(insurance_policy_data!B163,Sheet2!$B$3:$B$8,Sheet2!$C$3:$C$8,,-1)</f>
        <v>1.21</v>
      </c>
      <c r="C259">
        <f>_xlfn.XLOOKUP(insurance_policy_data!I163,Sheet2!$E$3:$E$7,Sheet2!$F$3:$F$7,,-1)</f>
        <v>1.25</v>
      </c>
      <c r="D259">
        <f>_xlfn.XLOOKUP(insurance_policy_data!P163,Sheet2!$H$3:$H$5,Sheet2!$I$3:$I$5,,-1)</f>
        <v>1.45</v>
      </c>
      <c r="E259">
        <f>_xlfn.XLOOKUP(insurance_policy_data!M163,Sheet2!$K$3:$K$7,Sheet2!$L$3:$L$7,,-1)</f>
        <v>1.3</v>
      </c>
      <c r="F259">
        <f>_xlfn.XLOOKUP(insurance_policy_data!H163,Sheet2!$N$3:$N$9,Sheet2!$O$3:$O$9,,-1)</f>
        <v>1.25</v>
      </c>
      <c r="G259">
        <f>_xlfn.XLOOKUP(insurance_policy_data!L163,Sheet2!$Q$3:$Q$4,Sheet2!$R$3:$R$4)</f>
        <v>1.5</v>
      </c>
      <c r="H259">
        <f>_xlfn.XLOOKUP(insurance_policy_data!N163,Sheet2!$T$3:$T$5,Sheet2!$U$3:$U$5,,-1)</f>
        <v>1.2</v>
      </c>
      <c r="I259">
        <f t="shared" ref="I259:I320" si="4">(B259*C259*D259*E259*F259*G259*H259)*80</f>
        <v>513.19124999999997</v>
      </c>
    </row>
    <row r="260" spans="2:9" x14ac:dyDescent="0.3">
      <c r="B260">
        <f>_xlfn.XLOOKUP(insurance_policy_data!B151,Sheet2!$B$3:$B$8,Sheet2!$C$3:$C$8,,-1)</f>
        <v>1.34</v>
      </c>
      <c r="C260">
        <f>_xlfn.XLOOKUP(insurance_policy_data!I151,Sheet2!$E$3:$E$7,Sheet2!$F$3:$F$7,,-1)</f>
        <v>1.31</v>
      </c>
      <c r="D260">
        <f>_xlfn.XLOOKUP(insurance_policy_data!P151,Sheet2!$H$3:$H$5,Sheet2!$I$3:$I$5,,-1)</f>
        <v>1.45</v>
      </c>
      <c r="E260">
        <f>_xlfn.XLOOKUP(insurance_policy_data!M151,Sheet2!$K$3:$K$7,Sheet2!$L$3:$L$7,,-1)</f>
        <v>1.39</v>
      </c>
      <c r="F260">
        <f>_xlfn.XLOOKUP(insurance_policy_data!H151,Sheet2!$N$3:$N$9,Sheet2!$O$3:$O$9,,-1)</f>
        <v>1.1000000000000001</v>
      </c>
      <c r="G260">
        <f>_xlfn.XLOOKUP(insurance_policy_data!L151,Sheet2!$Q$3:$Q$4,Sheet2!$R$3:$R$4)</f>
        <v>1.5</v>
      </c>
      <c r="H260">
        <f>_xlfn.XLOOKUP(insurance_policy_data!N151,Sheet2!$T$3:$T$5,Sheet2!$U$3:$U$5,,-1)</f>
        <v>1.1000000000000001</v>
      </c>
      <c r="I260">
        <f t="shared" si="4"/>
        <v>513.71886324000002</v>
      </c>
    </row>
    <row r="261" spans="2:9" x14ac:dyDescent="0.3">
      <c r="B261">
        <f>_xlfn.XLOOKUP(insurance_policy_data!B217,Sheet2!$B$3:$B$8,Sheet2!$C$3:$C$8,,-1)</f>
        <v>1.27</v>
      </c>
      <c r="C261">
        <f>_xlfn.XLOOKUP(insurance_policy_data!I217,Sheet2!$E$3:$E$7,Sheet2!$F$3:$F$7,,-1)</f>
        <v>1.25</v>
      </c>
      <c r="D261">
        <f>_xlfn.XLOOKUP(insurance_policy_data!P217,Sheet2!$H$3:$H$5,Sheet2!$I$3:$I$5,,-1)</f>
        <v>1.45</v>
      </c>
      <c r="E261">
        <f>_xlfn.XLOOKUP(insurance_policy_data!M217,Sheet2!$K$3:$K$7,Sheet2!$L$3:$L$7,,-1)</f>
        <v>1.4</v>
      </c>
      <c r="F261">
        <f>_xlfn.XLOOKUP(insurance_policy_data!H217,Sheet2!$N$3:$N$9,Sheet2!$O$3:$O$9,,-1)</f>
        <v>1.33</v>
      </c>
      <c r="G261">
        <f>_xlfn.XLOOKUP(insurance_policy_data!L217,Sheet2!$Q$3:$Q$4,Sheet2!$R$3:$R$4)</f>
        <v>1.5</v>
      </c>
      <c r="H261">
        <f>_xlfn.XLOOKUP(insurance_policy_data!N217,Sheet2!$T$3:$T$5,Sheet2!$U$3:$U$5,,-1)</f>
        <v>1</v>
      </c>
      <c r="I261">
        <f t="shared" si="4"/>
        <v>514.33095000000003</v>
      </c>
    </row>
    <row r="262" spans="2:9" x14ac:dyDescent="0.3">
      <c r="B262">
        <f>_xlfn.XLOOKUP(insurance_policy_data!B2,Sheet2!$B$3:$B$8,Sheet2!$C$3:$C$8,,-1)</f>
        <v>1.35</v>
      </c>
      <c r="C262">
        <f>_xlfn.XLOOKUP(insurance_policy_data!I2,Sheet2!$E$3:$E$7,Sheet2!$F$3:$F$7,,-1)</f>
        <v>1.31</v>
      </c>
      <c r="D262">
        <f>_xlfn.XLOOKUP(insurance_policy_data!P2,Sheet2!$H$3:$H$5,Sheet2!$I$3:$I$5,,-1)</f>
        <v>1.45</v>
      </c>
      <c r="E262">
        <f>_xlfn.XLOOKUP(insurance_policy_data!M2,Sheet2!$K$3:$K$7,Sheet2!$L$3:$L$7,,-1)</f>
        <v>1.26</v>
      </c>
      <c r="F262">
        <f>_xlfn.XLOOKUP(insurance_policy_data!H2,Sheet2!$N$3:$N$9,Sheet2!$O$3:$O$9,,-1)</f>
        <v>1.33</v>
      </c>
      <c r="G262">
        <f>_xlfn.XLOOKUP(insurance_policy_data!L2,Sheet2!$Q$3:$Q$4,Sheet2!$R$3:$R$4)</f>
        <v>1.5</v>
      </c>
      <c r="H262">
        <f>_xlfn.XLOOKUP(insurance_policy_data!N2,Sheet2!$T$3:$T$5,Sheet2!$U$3:$U$5,,-1)</f>
        <v>1</v>
      </c>
      <c r="I262">
        <f t="shared" si="4"/>
        <v>515.6755002000001</v>
      </c>
    </row>
    <row r="263" spans="2:9" x14ac:dyDescent="0.3">
      <c r="B263">
        <f>_xlfn.XLOOKUP(insurance_policy_data!B312,Sheet2!$B$3:$B$8,Sheet2!$C$3:$C$8,,-1)</f>
        <v>1.35</v>
      </c>
      <c r="C263">
        <f>_xlfn.XLOOKUP(insurance_policy_data!I312,Sheet2!$E$3:$E$7,Sheet2!$F$3:$F$7,,-1)</f>
        <v>1.31</v>
      </c>
      <c r="D263">
        <f>_xlfn.XLOOKUP(insurance_policy_data!P312,Sheet2!$H$3:$H$5,Sheet2!$I$3:$I$5,,-1)</f>
        <v>1.45</v>
      </c>
      <c r="E263">
        <f>_xlfn.XLOOKUP(insurance_policy_data!M312,Sheet2!$K$3:$K$7,Sheet2!$L$3:$L$7,,-1)</f>
        <v>1.26</v>
      </c>
      <c r="F263">
        <f>_xlfn.XLOOKUP(insurance_policy_data!H312,Sheet2!$N$3:$N$9,Sheet2!$O$3:$O$9,,-1)</f>
        <v>1.33</v>
      </c>
      <c r="G263">
        <f>_xlfn.XLOOKUP(insurance_policy_data!L312,Sheet2!$Q$3:$Q$4,Sheet2!$R$3:$R$4)</f>
        <v>1.5</v>
      </c>
      <c r="H263">
        <f>_xlfn.XLOOKUP(insurance_policy_data!N312,Sheet2!$T$3:$T$5,Sheet2!$U$3:$U$5,,-1)</f>
        <v>1</v>
      </c>
      <c r="I263">
        <f t="shared" si="4"/>
        <v>515.6755002000001</v>
      </c>
    </row>
    <row r="264" spans="2:9" x14ac:dyDescent="0.3">
      <c r="B264">
        <f>_xlfn.XLOOKUP(insurance_policy_data!B86,Sheet2!$B$3:$B$8,Sheet2!$C$3:$C$8,,-1)</f>
        <v>1.34</v>
      </c>
      <c r="C264">
        <f>_xlfn.XLOOKUP(insurance_policy_data!I86,Sheet2!$E$3:$E$7,Sheet2!$F$3:$F$7,,-1)</f>
        <v>1.3</v>
      </c>
      <c r="D264">
        <f>_xlfn.XLOOKUP(insurance_policy_data!P86,Sheet2!$H$3:$H$5,Sheet2!$I$3:$I$5,,-1)</f>
        <v>1.45</v>
      </c>
      <c r="E264">
        <f>_xlfn.XLOOKUP(insurance_policy_data!M86,Sheet2!$K$3:$K$7,Sheet2!$L$3:$L$7,,-1)</f>
        <v>1.26</v>
      </c>
      <c r="F264">
        <f>_xlfn.XLOOKUP(insurance_policy_data!H86,Sheet2!$N$3:$N$9,Sheet2!$O$3:$O$9,,-1)</f>
        <v>1.36</v>
      </c>
      <c r="G264">
        <f>_xlfn.XLOOKUP(insurance_policy_data!L86,Sheet2!$Q$3:$Q$4,Sheet2!$R$3:$R$4)</f>
        <v>1.5</v>
      </c>
      <c r="H264">
        <f>_xlfn.XLOOKUP(insurance_policy_data!N86,Sheet2!$T$3:$T$5,Sheet2!$U$3:$U$5,,-1)</f>
        <v>1</v>
      </c>
      <c r="I264">
        <f t="shared" si="4"/>
        <v>519.40586880000012</v>
      </c>
    </row>
    <row r="265" spans="2:9" x14ac:dyDescent="0.3">
      <c r="B265">
        <f>_xlfn.XLOOKUP(insurance_policy_data!B127,Sheet2!$B$3:$B$8,Sheet2!$C$3:$C$8,,-1)</f>
        <v>1.34</v>
      </c>
      <c r="C265">
        <f>_xlfn.XLOOKUP(insurance_policy_data!I127,Sheet2!$E$3:$E$7,Sheet2!$F$3:$F$7,,-1)</f>
        <v>1.3</v>
      </c>
      <c r="D265">
        <f>_xlfn.XLOOKUP(insurance_policy_data!P127,Sheet2!$H$3:$H$5,Sheet2!$I$3:$I$5,,-1)</f>
        <v>1.45</v>
      </c>
      <c r="E265">
        <f>_xlfn.XLOOKUP(insurance_policy_data!M127,Sheet2!$K$3:$K$7,Sheet2!$L$3:$L$7,,-1)</f>
        <v>1.26</v>
      </c>
      <c r="F265">
        <f>_xlfn.XLOOKUP(insurance_policy_data!H127,Sheet2!$N$3:$N$9,Sheet2!$O$3:$O$9,,-1)</f>
        <v>1.36</v>
      </c>
      <c r="G265">
        <f>_xlfn.XLOOKUP(insurance_policy_data!L127,Sheet2!$Q$3:$Q$4,Sheet2!$R$3:$R$4)</f>
        <v>1.5</v>
      </c>
      <c r="H265">
        <f>_xlfn.XLOOKUP(insurance_policy_data!N127,Sheet2!$T$3:$T$5,Sheet2!$U$3:$U$5,,-1)</f>
        <v>1</v>
      </c>
      <c r="I265">
        <f t="shared" si="4"/>
        <v>519.40586880000012</v>
      </c>
    </row>
    <row r="266" spans="2:9" x14ac:dyDescent="0.3">
      <c r="B266">
        <f>_xlfn.XLOOKUP(insurance_policy_data!B316,Sheet2!$B$3:$B$8,Sheet2!$C$3:$C$8,,-1)</f>
        <v>1.25</v>
      </c>
      <c r="C266">
        <f>_xlfn.XLOOKUP(insurance_policy_data!I316,Sheet2!$E$3:$E$7,Sheet2!$F$3:$F$7,,-1)</f>
        <v>1.3</v>
      </c>
      <c r="D266">
        <f>_xlfn.XLOOKUP(insurance_policy_data!P316,Sheet2!$H$3:$H$5,Sheet2!$I$3:$I$5,,-1)</f>
        <v>1.45</v>
      </c>
      <c r="E266">
        <f>_xlfn.XLOOKUP(insurance_policy_data!M316,Sheet2!$K$3:$K$7,Sheet2!$L$3:$L$7,,-1)</f>
        <v>1.39</v>
      </c>
      <c r="F266">
        <f>_xlfn.XLOOKUP(insurance_policy_data!H316,Sheet2!$N$3:$N$9,Sheet2!$O$3:$O$9,,-1)</f>
        <v>1.33</v>
      </c>
      <c r="G266">
        <f>_xlfn.XLOOKUP(insurance_policy_data!L316,Sheet2!$Q$3:$Q$4,Sheet2!$R$3:$R$4)</f>
        <v>1.5</v>
      </c>
      <c r="H266">
        <f>_xlfn.XLOOKUP(insurance_policy_data!N316,Sheet2!$T$3:$T$5,Sheet2!$U$3:$U$5,,-1)</f>
        <v>1</v>
      </c>
      <c r="I266">
        <f t="shared" si="4"/>
        <v>522.71992499999999</v>
      </c>
    </row>
    <row r="267" spans="2:9" x14ac:dyDescent="0.3">
      <c r="B267">
        <f>_xlfn.XLOOKUP(insurance_policy_data!B266,Sheet2!$B$3:$B$8,Sheet2!$C$3:$C$8,,-1)</f>
        <v>1.21</v>
      </c>
      <c r="C267">
        <f>_xlfn.XLOOKUP(insurance_policy_data!I266,Sheet2!$E$3:$E$7,Sheet2!$F$3:$F$7,,-1)</f>
        <v>1.25</v>
      </c>
      <c r="D267">
        <f>_xlfn.XLOOKUP(insurance_policy_data!P266,Sheet2!$H$3:$H$5,Sheet2!$I$3:$I$5,,-1)</f>
        <v>1.45</v>
      </c>
      <c r="E267">
        <f>_xlfn.XLOOKUP(insurance_policy_data!M266,Sheet2!$K$3:$K$7,Sheet2!$L$3:$L$7,,-1)</f>
        <v>1.4</v>
      </c>
      <c r="F267">
        <f>_xlfn.XLOOKUP(insurance_policy_data!H266,Sheet2!$N$3:$N$9,Sheet2!$O$3:$O$9,,-1)</f>
        <v>1.29</v>
      </c>
      <c r="G267">
        <f>_xlfn.XLOOKUP(insurance_policy_data!L266,Sheet2!$Q$3:$Q$4,Sheet2!$R$3:$R$4)</f>
        <v>1.5</v>
      </c>
      <c r="H267">
        <f>_xlfn.XLOOKUP(insurance_policy_data!N266,Sheet2!$T$3:$T$5,Sheet2!$U$3:$U$5,,-1)</f>
        <v>1.1000000000000001</v>
      </c>
      <c r="I267">
        <f t="shared" si="4"/>
        <v>522.82345499999997</v>
      </c>
    </row>
    <row r="268" spans="2:9" x14ac:dyDescent="0.3">
      <c r="B268">
        <f>_xlfn.XLOOKUP(insurance_policy_data!B287,Sheet2!$B$3:$B$8,Sheet2!$C$3:$C$8,,-1)</f>
        <v>1.27</v>
      </c>
      <c r="C268">
        <f>_xlfn.XLOOKUP(insurance_policy_data!I287,Sheet2!$E$3:$E$7,Sheet2!$F$3:$F$7,,-1)</f>
        <v>1.25</v>
      </c>
      <c r="D268">
        <f>_xlfn.XLOOKUP(insurance_policy_data!P287,Sheet2!$H$3:$H$5,Sheet2!$I$3:$I$5,,-1)</f>
        <v>1.45</v>
      </c>
      <c r="E268">
        <f>_xlfn.XLOOKUP(insurance_policy_data!M287,Sheet2!$K$3:$K$7,Sheet2!$L$3:$L$7,,-1)</f>
        <v>1.3</v>
      </c>
      <c r="F268">
        <f>_xlfn.XLOOKUP(insurance_policy_data!H287,Sheet2!$N$3:$N$9,Sheet2!$O$3:$O$9,,-1)</f>
        <v>1.33</v>
      </c>
      <c r="G268">
        <f>_xlfn.XLOOKUP(insurance_policy_data!L287,Sheet2!$Q$3:$Q$4,Sheet2!$R$3:$R$4)</f>
        <v>1.5</v>
      </c>
      <c r="H268">
        <f>_xlfn.XLOOKUP(insurance_policy_data!N287,Sheet2!$T$3:$T$5,Sheet2!$U$3:$U$5,,-1)</f>
        <v>1.1000000000000001</v>
      </c>
      <c r="I268">
        <f t="shared" si="4"/>
        <v>525.3523275</v>
      </c>
    </row>
    <row r="269" spans="2:9" x14ac:dyDescent="0.3">
      <c r="B269">
        <f>_xlfn.XLOOKUP(insurance_policy_data!B224,Sheet2!$B$3:$B$8,Sheet2!$C$3:$C$8,,-1)</f>
        <v>1.27</v>
      </c>
      <c r="C269">
        <f>_xlfn.XLOOKUP(insurance_policy_data!I224,Sheet2!$E$3:$E$7,Sheet2!$F$3:$F$7,,-1)</f>
        <v>1.25</v>
      </c>
      <c r="D269">
        <f>_xlfn.XLOOKUP(insurance_policy_data!P224,Sheet2!$H$3:$H$5,Sheet2!$I$3:$I$5,,-1)</f>
        <v>1.45</v>
      </c>
      <c r="E269">
        <f>_xlfn.XLOOKUP(insurance_policy_data!M224,Sheet2!$K$3:$K$7,Sheet2!$L$3:$L$7,,-1)</f>
        <v>1.4</v>
      </c>
      <c r="F269">
        <f>_xlfn.XLOOKUP(insurance_policy_data!H224,Sheet2!$N$3:$N$9,Sheet2!$O$3:$O$9,,-1)</f>
        <v>1.36</v>
      </c>
      <c r="G269">
        <f>_xlfn.XLOOKUP(insurance_policy_data!L224,Sheet2!$Q$3:$Q$4,Sheet2!$R$3:$R$4)</f>
        <v>1.5</v>
      </c>
      <c r="H269">
        <f>_xlfn.XLOOKUP(insurance_policy_data!N224,Sheet2!$T$3:$T$5,Sheet2!$U$3:$U$5,,-1)</f>
        <v>1</v>
      </c>
      <c r="I269">
        <f t="shared" si="4"/>
        <v>525.93239999999992</v>
      </c>
    </row>
    <row r="270" spans="2:9" x14ac:dyDescent="0.3">
      <c r="B270">
        <f>_xlfn.XLOOKUP(insurance_policy_data!B166,Sheet2!$B$3:$B$8,Sheet2!$C$3:$C$8,,-1)</f>
        <v>1.27</v>
      </c>
      <c r="C270">
        <f>_xlfn.XLOOKUP(insurance_policy_data!I166,Sheet2!$E$3:$E$7,Sheet2!$F$3:$F$7,,-1)</f>
        <v>1.25</v>
      </c>
      <c r="D270">
        <f>_xlfn.XLOOKUP(insurance_policy_data!P166,Sheet2!$H$3:$H$5,Sheet2!$I$3:$I$5,,-1)</f>
        <v>1.45</v>
      </c>
      <c r="E270">
        <f>_xlfn.XLOOKUP(insurance_policy_data!M166,Sheet2!$K$3:$K$7,Sheet2!$L$3:$L$7,,-1)</f>
        <v>1.39</v>
      </c>
      <c r="F270">
        <f>_xlfn.XLOOKUP(insurance_policy_data!H166,Sheet2!$N$3:$N$9,Sheet2!$O$3:$O$9,,-1)</f>
        <v>1.25</v>
      </c>
      <c r="G270">
        <f>_xlfn.XLOOKUP(insurance_policy_data!L166,Sheet2!$Q$3:$Q$4,Sheet2!$R$3:$R$4)</f>
        <v>1.5</v>
      </c>
      <c r="H270">
        <f>_xlfn.XLOOKUP(insurance_policy_data!N166,Sheet2!$T$3:$T$5,Sheet2!$U$3:$U$5,,-1)</f>
        <v>1.1000000000000001</v>
      </c>
      <c r="I270">
        <f t="shared" si="4"/>
        <v>527.93503124999995</v>
      </c>
    </row>
    <row r="271" spans="2:9" x14ac:dyDescent="0.3">
      <c r="B271">
        <f>_xlfn.XLOOKUP(insurance_policy_data!B177,Sheet2!$B$3:$B$8,Sheet2!$C$3:$C$8,,-1)</f>
        <v>1.27</v>
      </c>
      <c r="C271">
        <f>_xlfn.XLOOKUP(insurance_policy_data!I177,Sheet2!$E$3:$E$7,Sheet2!$F$3:$F$7,,-1)</f>
        <v>1.25</v>
      </c>
      <c r="D271">
        <f>_xlfn.XLOOKUP(insurance_policy_data!P177,Sheet2!$H$3:$H$5,Sheet2!$I$3:$I$5,,-1)</f>
        <v>1.45</v>
      </c>
      <c r="E271">
        <f>_xlfn.XLOOKUP(insurance_policy_data!M177,Sheet2!$K$3:$K$7,Sheet2!$L$3:$L$7,,-1)</f>
        <v>1.39</v>
      </c>
      <c r="F271">
        <f>_xlfn.XLOOKUP(insurance_policy_data!H177,Sheet2!$N$3:$N$9,Sheet2!$O$3:$O$9,,-1)</f>
        <v>1.25</v>
      </c>
      <c r="G271">
        <f>_xlfn.XLOOKUP(insurance_policy_data!L177,Sheet2!$Q$3:$Q$4,Sheet2!$R$3:$R$4)</f>
        <v>1.5</v>
      </c>
      <c r="H271">
        <f>_xlfn.XLOOKUP(insurance_policy_data!N177,Sheet2!$T$3:$T$5,Sheet2!$U$3:$U$5,,-1)</f>
        <v>1.1000000000000001</v>
      </c>
      <c r="I271">
        <f t="shared" si="4"/>
        <v>527.93503124999995</v>
      </c>
    </row>
    <row r="272" spans="2:9" x14ac:dyDescent="0.3">
      <c r="B272">
        <f>_xlfn.XLOOKUP(insurance_policy_data!B184,Sheet2!$B$3:$B$8,Sheet2!$C$3:$C$8,,-1)</f>
        <v>1.27</v>
      </c>
      <c r="C272">
        <f>_xlfn.XLOOKUP(insurance_policy_data!I184,Sheet2!$E$3:$E$7,Sheet2!$F$3:$F$7,,-1)</f>
        <v>1.25</v>
      </c>
      <c r="D272">
        <f>_xlfn.XLOOKUP(insurance_policy_data!P184,Sheet2!$H$3:$H$5,Sheet2!$I$3:$I$5,,-1)</f>
        <v>1.45</v>
      </c>
      <c r="E272">
        <f>_xlfn.XLOOKUP(insurance_policy_data!M184,Sheet2!$K$3:$K$7,Sheet2!$L$3:$L$7,,-1)</f>
        <v>1.39</v>
      </c>
      <c r="F272">
        <f>_xlfn.XLOOKUP(insurance_policy_data!H184,Sheet2!$N$3:$N$9,Sheet2!$O$3:$O$9,,-1)</f>
        <v>1.25</v>
      </c>
      <c r="G272">
        <f>_xlfn.XLOOKUP(insurance_policy_data!L184,Sheet2!$Q$3:$Q$4,Sheet2!$R$3:$R$4)</f>
        <v>1.5</v>
      </c>
      <c r="H272">
        <f>_xlfn.XLOOKUP(insurance_policy_data!N184,Sheet2!$T$3:$T$5,Sheet2!$U$3:$U$5,,-1)</f>
        <v>1.1000000000000001</v>
      </c>
      <c r="I272">
        <f t="shared" si="4"/>
        <v>527.93503124999995</v>
      </c>
    </row>
    <row r="273" spans="2:9" x14ac:dyDescent="0.3">
      <c r="B273">
        <f>_xlfn.XLOOKUP(insurance_policy_data!B78,Sheet2!$B$3:$B$8,Sheet2!$C$3:$C$8,,-1)</f>
        <v>1.35</v>
      </c>
      <c r="C273">
        <f>_xlfn.XLOOKUP(insurance_policy_data!I78,Sheet2!$E$3:$E$7,Sheet2!$F$3:$F$7,,-1)</f>
        <v>1.31</v>
      </c>
      <c r="D273">
        <f>_xlfn.XLOOKUP(insurance_policy_data!P78,Sheet2!$H$3:$H$5,Sheet2!$I$3:$I$5,,-1)</f>
        <v>1.45</v>
      </c>
      <c r="E273">
        <f>_xlfn.XLOOKUP(insurance_policy_data!M78,Sheet2!$K$3:$K$7,Sheet2!$L$3:$L$7,,-1)</f>
        <v>1.3</v>
      </c>
      <c r="F273">
        <f>_xlfn.XLOOKUP(insurance_policy_data!H78,Sheet2!$N$3:$N$9,Sheet2!$O$3:$O$9,,-1)</f>
        <v>1.1000000000000001</v>
      </c>
      <c r="G273">
        <f>_xlfn.XLOOKUP(insurance_policy_data!L78,Sheet2!$Q$3:$Q$4,Sheet2!$R$3:$R$4)</f>
        <v>1.5</v>
      </c>
      <c r="H273">
        <f>_xlfn.XLOOKUP(insurance_policy_data!N78,Sheet2!$T$3:$T$5,Sheet2!$U$3:$U$5,,-1)</f>
        <v>1.2</v>
      </c>
      <c r="I273">
        <f t="shared" si="4"/>
        <v>528.04580400000009</v>
      </c>
    </row>
    <row r="274" spans="2:9" x14ac:dyDescent="0.3">
      <c r="B274">
        <f>_xlfn.XLOOKUP(insurance_policy_data!B91,Sheet2!$B$3:$B$8,Sheet2!$C$3:$C$8,,-1)</f>
        <v>1.27</v>
      </c>
      <c r="C274">
        <f>_xlfn.XLOOKUP(insurance_policy_data!I91,Sheet2!$E$3:$E$7,Sheet2!$F$3:$F$7,,-1)</f>
        <v>1.25</v>
      </c>
      <c r="D274">
        <f>_xlfn.XLOOKUP(insurance_policy_data!P91,Sheet2!$H$3:$H$5,Sheet2!$I$3:$I$5,,-1)</f>
        <v>1.45</v>
      </c>
      <c r="E274">
        <f>_xlfn.XLOOKUP(insurance_policy_data!M91,Sheet2!$K$3:$K$7,Sheet2!$L$3:$L$7,,-1)</f>
        <v>1.4</v>
      </c>
      <c r="F274">
        <f>_xlfn.XLOOKUP(insurance_policy_data!H91,Sheet2!$N$3:$N$9,Sheet2!$O$3:$O$9,,-1)</f>
        <v>1.25</v>
      </c>
      <c r="G274">
        <f>_xlfn.XLOOKUP(insurance_policy_data!L91,Sheet2!$Q$3:$Q$4,Sheet2!$R$3:$R$4)</f>
        <v>1.5</v>
      </c>
      <c r="H274">
        <f>_xlfn.XLOOKUP(insurance_policy_data!N91,Sheet2!$T$3:$T$5,Sheet2!$U$3:$U$5,,-1)</f>
        <v>1.1000000000000001</v>
      </c>
      <c r="I274">
        <f t="shared" si="4"/>
        <v>531.73312500000009</v>
      </c>
    </row>
    <row r="275" spans="2:9" x14ac:dyDescent="0.3">
      <c r="B275">
        <f>_xlfn.XLOOKUP(insurance_policy_data!B87,Sheet2!$B$3:$B$8,Sheet2!$C$3:$C$8,,-1)</f>
        <v>1.25</v>
      </c>
      <c r="C275">
        <f>_xlfn.XLOOKUP(insurance_policy_data!I87,Sheet2!$E$3:$E$7,Sheet2!$F$3:$F$7,,-1)</f>
        <v>1.3</v>
      </c>
      <c r="D275">
        <f>_xlfn.XLOOKUP(insurance_policy_data!P87,Sheet2!$H$3:$H$5,Sheet2!$I$3:$I$5,,-1)</f>
        <v>1.45</v>
      </c>
      <c r="E275">
        <f>_xlfn.XLOOKUP(insurance_policy_data!M87,Sheet2!$K$3:$K$7,Sheet2!$L$3:$L$7,,-1)</f>
        <v>1.26</v>
      </c>
      <c r="F275">
        <f>_xlfn.XLOOKUP(insurance_policy_data!H87,Sheet2!$N$3:$N$9,Sheet2!$O$3:$O$9,,-1)</f>
        <v>1.25</v>
      </c>
      <c r="G275">
        <f>_xlfn.XLOOKUP(insurance_policy_data!L87,Sheet2!$Q$3:$Q$4,Sheet2!$R$3:$R$4)</f>
        <v>1.5</v>
      </c>
      <c r="H275">
        <f>_xlfn.XLOOKUP(insurance_policy_data!N87,Sheet2!$T$3:$T$5,Sheet2!$U$3:$U$5,,-1)</f>
        <v>1.2</v>
      </c>
      <c r="I275">
        <f t="shared" si="4"/>
        <v>534.39749999999992</v>
      </c>
    </row>
    <row r="276" spans="2:9" x14ac:dyDescent="0.3">
      <c r="B276">
        <f>_xlfn.XLOOKUP(insurance_policy_data!B256,Sheet2!$B$3:$B$8,Sheet2!$C$3:$C$8,,-1)</f>
        <v>1.25</v>
      </c>
      <c r="C276">
        <f>_xlfn.XLOOKUP(insurance_policy_data!I256,Sheet2!$E$3:$E$7,Sheet2!$F$3:$F$7,,-1)</f>
        <v>1.3</v>
      </c>
      <c r="D276">
        <f>_xlfn.XLOOKUP(insurance_policy_data!P256,Sheet2!$H$3:$H$5,Sheet2!$I$3:$I$5,,-1)</f>
        <v>1.45</v>
      </c>
      <c r="E276">
        <f>_xlfn.XLOOKUP(insurance_policy_data!M256,Sheet2!$K$3:$K$7,Sheet2!$L$3:$L$7,,-1)</f>
        <v>1.39</v>
      </c>
      <c r="F276">
        <f>_xlfn.XLOOKUP(insurance_policy_data!H256,Sheet2!$N$3:$N$9,Sheet2!$O$3:$O$9,,-1)</f>
        <v>1.36</v>
      </c>
      <c r="G276">
        <f>_xlfn.XLOOKUP(insurance_policy_data!L256,Sheet2!$Q$3:$Q$4,Sheet2!$R$3:$R$4)</f>
        <v>1.5</v>
      </c>
      <c r="H276">
        <f>_xlfn.XLOOKUP(insurance_policy_data!N256,Sheet2!$T$3:$T$5,Sheet2!$U$3:$U$5,,-1)</f>
        <v>1</v>
      </c>
      <c r="I276">
        <f t="shared" si="4"/>
        <v>534.51059999999995</v>
      </c>
    </row>
    <row r="277" spans="2:9" x14ac:dyDescent="0.3">
      <c r="B277">
        <f>_xlfn.XLOOKUP(insurance_policy_data!B41,Sheet2!$B$3:$B$8,Sheet2!$C$3:$C$8,,-1)</f>
        <v>1.21</v>
      </c>
      <c r="C277">
        <f>_xlfn.XLOOKUP(insurance_policy_data!I41,Sheet2!$E$3:$E$7,Sheet2!$F$3:$F$7,,-1)</f>
        <v>1.25</v>
      </c>
      <c r="D277">
        <f>_xlfn.XLOOKUP(insurance_policy_data!P41,Sheet2!$H$3:$H$5,Sheet2!$I$3:$I$5,,-1)</f>
        <v>1.45</v>
      </c>
      <c r="E277">
        <f>_xlfn.XLOOKUP(insurance_policy_data!M41,Sheet2!$K$3:$K$7,Sheet2!$L$3:$L$7,,-1)</f>
        <v>1.39</v>
      </c>
      <c r="F277">
        <f>_xlfn.XLOOKUP(insurance_policy_data!H41,Sheet2!$N$3:$N$9,Sheet2!$O$3:$O$9,,-1)</f>
        <v>1.33</v>
      </c>
      <c r="G277">
        <f>_xlfn.XLOOKUP(insurance_policy_data!L41,Sheet2!$Q$3:$Q$4,Sheet2!$R$3:$R$4)</f>
        <v>1.5</v>
      </c>
      <c r="H277">
        <f>_xlfn.XLOOKUP(insurance_policy_data!N41,Sheet2!$T$3:$T$5,Sheet2!$U$3:$U$5,,-1)</f>
        <v>1.1000000000000001</v>
      </c>
      <c r="I277">
        <f t="shared" si="4"/>
        <v>535.18478474999995</v>
      </c>
    </row>
    <row r="278" spans="2:9" x14ac:dyDescent="0.3">
      <c r="B278">
        <f>_xlfn.XLOOKUP(insurance_policy_data!B106,Sheet2!$B$3:$B$8,Sheet2!$C$3:$C$8,,-1)</f>
        <v>1.21</v>
      </c>
      <c r="C278">
        <f>_xlfn.XLOOKUP(insurance_policy_data!I106,Sheet2!$E$3:$E$7,Sheet2!$F$3:$F$7,,-1)</f>
        <v>1.25</v>
      </c>
      <c r="D278">
        <f>_xlfn.XLOOKUP(insurance_policy_data!P106,Sheet2!$H$3:$H$5,Sheet2!$I$3:$I$5,,-1)</f>
        <v>1.45</v>
      </c>
      <c r="E278">
        <f>_xlfn.XLOOKUP(insurance_policy_data!M106,Sheet2!$K$3:$K$7,Sheet2!$L$3:$L$7,,-1)</f>
        <v>1.39</v>
      </c>
      <c r="F278">
        <f>_xlfn.XLOOKUP(insurance_policy_data!H106,Sheet2!$N$3:$N$9,Sheet2!$O$3:$O$9,,-1)</f>
        <v>1.33</v>
      </c>
      <c r="G278">
        <f>_xlfn.XLOOKUP(insurance_policy_data!L106,Sheet2!$Q$3:$Q$4,Sheet2!$R$3:$R$4)</f>
        <v>1.5</v>
      </c>
      <c r="H278">
        <f>_xlfn.XLOOKUP(insurance_policy_data!N106,Sheet2!$T$3:$T$5,Sheet2!$U$3:$U$5,,-1)</f>
        <v>1.1000000000000001</v>
      </c>
      <c r="I278">
        <f t="shared" si="4"/>
        <v>535.18478474999995</v>
      </c>
    </row>
    <row r="279" spans="2:9" x14ac:dyDescent="0.3">
      <c r="B279">
        <f>_xlfn.XLOOKUP(insurance_policy_data!B164,Sheet2!$B$3:$B$8,Sheet2!$C$3:$C$8,,-1)</f>
        <v>1.25</v>
      </c>
      <c r="C279">
        <f>_xlfn.XLOOKUP(insurance_policy_data!I164,Sheet2!$E$3:$E$7,Sheet2!$F$3:$F$7,,-1)</f>
        <v>1.3</v>
      </c>
      <c r="D279">
        <f>_xlfn.XLOOKUP(insurance_policy_data!P164,Sheet2!$H$3:$H$5,Sheet2!$I$3:$I$5,,-1)</f>
        <v>1.45</v>
      </c>
      <c r="E279">
        <f>_xlfn.XLOOKUP(insurance_policy_data!M164,Sheet2!$K$3:$K$7,Sheet2!$L$3:$L$7,,-1)</f>
        <v>1.39</v>
      </c>
      <c r="F279">
        <f>_xlfn.XLOOKUP(insurance_policy_data!H164,Sheet2!$N$3:$N$9,Sheet2!$O$3:$O$9,,-1)</f>
        <v>1.25</v>
      </c>
      <c r="G279">
        <f>_xlfn.XLOOKUP(insurance_policy_data!L164,Sheet2!$Q$3:$Q$4,Sheet2!$R$3:$R$4)</f>
        <v>1.5</v>
      </c>
      <c r="H279">
        <f>_xlfn.XLOOKUP(insurance_policy_data!N164,Sheet2!$T$3:$T$5,Sheet2!$U$3:$U$5,,-1)</f>
        <v>1.1000000000000001</v>
      </c>
      <c r="I279">
        <f t="shared" si="4"/>
        <v>540.40593749999994</v>
      </c>
    </row>
    <row r="280" spans="2:9" x14ac:dyDescent="0.3">
      <c r="B280">
        <f>_xlfn.XLOOKUP(insurance_policy_data!B27,Sheet2!$B$3:$B$8,Sheet2!$C$3:$C$8,,-1)</f>
        <v>1.28</v>
      </c>
      <c r="C280">
        <f>_xlfn.XLOOKUP(insurance_policy_data!I27,Sheet2!$E$3:$E$7,Sheet2!$F$3:$F$7,,-1)</f>
        <v>1.32</v>
      </c>
      <c r="D280">
        <f>_xlfn.XLOOKUP(insurance_policy_data!P27,Sheet2!$H$3:$H$5,Sheet2!$I$3:$I$5,,-1)</f>
        <v>1.45</v>
      </c>
      <c r="E280">
        <f>_xlfn.XLOOKUP(insurance_policy_data!M27,Sheet2!$K$3:$K$7,Sheet2!$L$3:$L$7,,-1)</f>
        <v>1.3</v>
      </c>
      <c r="F280">
        <f>_xlfn.XLOOKUP(insurance_policy_data!H27,Sheet2!$N$3:$N$9,Sheet2!$O$3:$O$9,,-1)</f>
        <v>1.29</v>
      </c>
      <c r="G280">
        <f>_xlfn.XLOOKUP(insurance_policy_data!L27,Sheet2!$Q$3:$Q$4,Sheet2!$R$3:$R$4)</f>
        <v>1.5</v>
      </c>
      <c r="H280">
        <f>_xlfn.XLOOKUP(insurance_policy_data!N27,Sheet2!$T$3:$T$5,Sheet2!$U$3:$U$5,,-1)</f>
        <v>1.1000000000000001</v>
      </c>
      <c r="I280">
        <f t="shared" si="4"/>
        <v>542.32409088000009</v>
      </c>
    </row>
    <row r="281" spans="2:9" x14ac:dyDescent="0.3">
      <c r="B281">
        <f>_xlfn.XLOOKUP(insurance_policy_data!B193,Sheet2!$B$3:$B$8,Sheet2!$C$3:$C$8,,-1)</f>
        <v>1.21</v>
      </c>
      <c r="C281">
        <f>_xlfn.XLOOKUP(insurance_policy_data!I193,Sheet2!$E$3:$E$7,Sheet2!$F$3:$F$7,,-1)</f>
        <v>1.25</v>
      </c>
      <c r="D281">
        <f>_xlfn.XLOOKUP(insurance_policy_data!P193,Sheet2!$H$3:$H$5,Sheet2!$I$3:$I$5,,-1)</f>
        <v>1.45</v>
      </c>
      <c r="E281">
        <f>_xlfn.XLOOKUP(insurance_policy_data!M193,Sheet2!$K$3:$K$7,Sheet2!$L$3:$L$7,,-1)</f>
        <v>1.39</v>
      </c>
      <c r="F281">
        <f>_xlfn.XLOOKUP(insurance_policy_data!H193,Sheet2!$N$3:$N$9,Sheet2!$O$3:$O$9,,-1)</f>
        <v>1.25</v>
      </c>
      <c r="G281">
        <f>_xlfn.XLOOKUP(insurance_policy_data!L193,Sheet2!$Q$3:$Q$4,Sheet2!$R$3:$R$4)</f>
        <v>1.5</v>
      </c>
      <c r="H281">
        <f>_xlfn.XLOOKUP(insurance_policy_data!N193,Sheet2!$T$3:$T$5,Sheet2!$U$3:$U$5,,-1)</f>
        <v>1.2</v>
      </c>
      <c r="I281">
        <f t="shared" si="4"/>
        <v>548.719875</v>
      </c>
    </row>
    <row r="282" spans="2:9" x14ac:dyDescent="0.3">
      <c r="B282">
        <f>_xlfn.XLOOKUP(insurance_policy_data!B55,Sheet2!$B$3:$B$8,Sheet2!$C$3:$C$8,,-1)</f>
        <v>1.34</v>
      </c>
      <c r="C282">
        <f>_xlfn.XLOOKUP(insurance_policy_data!I55,Sheet2!$E$3:$E$7,Sheet2!$F$3:$F$7,,-1)</f>
        <v>1.3</v>
      </c>
      <c r="D282">
        <f>_xlfn.XLOOKUP(insurance_policy_data!P55,Sheet2!$H$3:$H$5,Sheet2!$I$3:$I$5,,-1)</f>
        <v>1.45</v>
      </c>
      <c r="E282">
        <f>_xlfn.XLOOKUP(insurance_policy_data!M55,Sheet2!$K$3:$K$7,Sheet2!$L$3:$L$7,,-1)</f>
        <v>1.26</v>
      </c>
      <c r="F282">
        <f>_xlfn.XLOOKUP(insurance_policy_data!H55,Sheet2!$N$3:$N$9,Sheet2!$O$3:$O$9,,-1)</f>
        <v>1.2</v>
      </c>
      <c r="G282">
        <f>_xlfn.XLOOKUP(insurance_policy_data!L55,Sheet2!$Q$3:$Q$4,Sheet2!$R$3:$R$4)</f>
        <v>1.5</v>
      </c>
      <c r="H282">
        <f>_xlfn.XLOOKUP(insurance_policy_data!N55,Sheet2!$T$3:$T$5,Sheet2!$U$3:$U$5,,-1)</f>
        <v>1.2</v>
      </c>
      <c r="I282">
        <f t="shared" si="4"/>
        <v>549.95915519999994</v>
      </c>
    </row>
    <row r="283" spans="2:9" x14ac:dyDescent="0.3">
      <c r="B283">
        <f>_xlfn.XLOOKUP(insurance_policy_data!B60,Sheet2!$B$3:$B$8,Sheet2!$C$3:$C$8,,-1)</f>
        <v>1.25</v>
      </c>
      <c r="C283">
        <f>_xlfn.XLOOKUP(insurance_policy_data!I60,Sheet2!$E$3:$E$7,Sheet2!$F$3:$F$7,,-1)</f>
        <v>1.3</v>
      </c>
      <c r="D283">
        <f>_xlfn.XLOOKUP(insurance_policy_data!P60,Sheet2!$H$3:$H$5,Sheet2!$I$3:$I$5,,-1)</f>
        <v>1.45</v>
      </c>
      <c r="E283">
        <f>_xlfn.XLOOKUP(insurance_policy_data!M60,Sheet2!$K$3:$K$7,Sheet2!$L$3:$L$7,,-1)</f>
        <v>1.3</v>
      </c>
      <c r="F283">
        <f>_xlfn.XLOOKUP(insurance_policy_data!H60,Sheet2!$N$3:$N$9,Sheet2!$O$3:$O$9,,-1)</f>
        <v>1.25</v>
      </c>
      <c r="G283">
        <f>_xlfn.XLOOKUP(insurance_policy_data!L60,Sheet2!$Q$3:$Q$4,Sheet2!$R$3:$R$4)</f>
        <v>1.5</v>
      </c>
      <c r="H283">
        <f>_xlfn.XLOOKUP(insurance_policy_data!N60,Sheet2!$T$3:$T$5,Sheet2!$U$3:$U$5,,-1)</f>
        <v>1.2</v>
      </c>
      <c r="I283">
        <f t="shared" si="4"/>
        <v>551.36249999999995</v>
      </c>
    </row>
    <row r="284" spans="2:9" x14ac:dyDescent="0.3">
      <c r="B284">
        <f>_xlfn.XLOOKUP(insurance_policy_data!B309,Sheet2!$B$3:$B$8,Sheet2!$C$3:$C$8,,-1)</f>
        <v>1.35</v>
      </c>
      <c r="C284">
        <f>_xlfn.XLOOKUP(insurance_policy_data!I309,Sheet2!$E$3:$E$7,Sheet2!$F$3:$F$7,,-1)</f>
        <v>1.31</v>
      </c>
      <c r="D284">
        <f>_xlfn.XLOOKUP(insurance_policy_data!P309,Sheet2!$H$3:$H$5,Sheet2!$I$3:$I$5,,-1)</f>
        <v>1.45</v>
      </c>
      <c r="E284">
        <f>_xlfn.XLOOKUP(insurance_policy_data!M309,Sheet2!$K$3:$K$7,Sheet2!$L$3:$L$7,,-1)</f>
        <v>1.39</v>
      </c>
      <c r="F284">
        <f>_xlfn.XLOOKUP(insurance_policy_data!H309,Sheet2!$N$3:$N$9,Sheet2!$O$3:$O$9,,-1)</f>
        <v>1.29</v>
      </c>
      <c r="G284">
        <f>_xlfn.XLOOKUP(insurance_policy_data!L309,Sheet2!$Q$3:$Q$4,Sheet2!$R$3:$R$4)</f>
        <v>1.5</v>
      </c>
      <c r="H284">
        <f>_xlfn.XLOOKUP(insurance_policy_data!N309,Sheet2!$T$3:$T$5,Sheet2!$U$3:$U$5,,-1)</f>
        <v>1</v>
      </c>
      <c r="I284">
        <f t="shared" si="4"/>
        <v>551.77093889999992</v>
      </c>
    </row>
    <row r="285" spans="2:9" x14ac:dyDescent="0.3">
      <c r="B285">
        <f>_xlfn.XLOOKUP(insurance_policy_data!B109,Sheet2!$B$3:$B$8,Sheet2!$C$3:$C$8,,-1)</f>
        <v>1.21</v>
      </c>
      <c r="C285">
        <f>_xlfn.XLOOKUP(insurance_policy_data!I109,Sheet2!$E$3:$E$7,Sheet2!$F$3:$F$7,,-1)</f>
        <v>1.25</v>
      </c>
      <c r="D285">
        <f>_xlfn.XLOOKUP(insurance_policy_data!P109,Sheet2!$H$3:$H$5,Sheet2!$I$3:$I$5,,-1)</f>
        <v>1.45</v>
      </c>
      <c r="E285">
        <f>_xlfn.XLOOKUP(insurance_policy_data!M109,Sheet2!$K$3:$K$7,Sheet2!$L$3:$L$7,,-1)</f>
        <v>1.4</v>
      </c>
      <c r="F285">
        <f>_xlfn.XLOOKUP(insurance_policy_data!H109,Sheet2!$N$3:$N$9,Sheet2!$O$3:$O$9,,-1)</f>
        <v>1.25</v>
      </c>
      <c r="G285">
        <f>_xlfn.XLOOKUP(insurance_policy_data!L109,Sheet2!$Q$3:$Q$4,Sheet2!$R$3:$R$4)</f>
        <v>1.5</v>
      </c>
      <c r="H285">
        <f>_xlfn.XLOOKUP(insurance_policy_data!N109,Sheet2!$T$3:$T$5,Sheet2!$U$3:$U$5,,-1)</f>
        <v>1.2</v>
      </c>
      <c r="I285">
        <f t="shared" si="4"/>
        <v>552.6674999999999</v>
      </c>
    </row>
    <row r="286" spans="2:9" x14ac:dyDescent="0.3">
      <c r="B286">
        <f>_xlfn.XLOOKUP(insurance_policy_data!B140,Sheet2!$B$3:$B$8,Sheet2!$C$3:$C$8,,-1)</f>
        <v>1.28</v>
      </c>
      <c r="C286">
        <f>_xlfn.XLOOKUP(insurance_policy_data!I140,Sheet2!$E$3:$E$7,Sheet2!$F$3:$F$7,,-1)</f>
        <v>1.25</v>
      </c>
      <c r="D286">
        <f>_xlfn.XLOOKUP(insurance_policy_data!P140,Sheet2!$H$3:$H$5,Sheet2!$I$3:$I$5,,-1)</f>
        <v>1.45</v>
      </c>
      <c r="E286">
        <f>_xlfn.XLOOKUP(insurance_policy_data!M140,Sheet2!$K$3:$K$7,Sheet2!$L$3:$L$7,,-1)</f>
        <v>1.39</v>
      </c>
      <c r="F286">
        <f>_xlfn.XLOOKUP(insurance_policy_data!H140,Sheet2!$N$3:$N$9,Sheet2!$O$3:$O$9,,-1)</f>
        <v>1.2</v>
      </c>
      <c r="G286">
        <f>_xlfn.XLOOKUP(insurance_policy_data!L140,Sheet2!$Q$3:$Q$4,Sheet2!$R$3:$R$4)</f>
        <v>1.5</v>
      </c>
      <c r="H286">
        <f>_xlfn.XLOOKUP(insurance_policy_data!N140,Sheet2!$T$3:$T$5,Sheet2!$U$3:$U$5,,-1)</f>
        <v>1.2</v>
      </c>
      <c r="I286">
        <f t="shared" si="4"/>
        <v>557.24543999999992</v>
      </c>
    </row>
    <row r="287" spans="2:9" x14ac:dyDescent="0.3">
      <c r="B287">
        <f>_xlfn.XLOOKUP(insurance_policy_data!B44,Sheet2!$B$3:$B$8,Sheet2!$C$3:$C$8,,-1)</f>
        <v>1.34</v>
      </c>
      <c r="C287">
        <f>_xlfn.XLOOKUP(insurance_policy_data!I44,Sheet2!$E$3:$E$7,Sheet2!$F$3:$F$7,,-1)</f>
        <v>1.31</v>
      </c>
      <c r="D287">
        <f>_xlfn.XLOOKUP(insurance_policy_data!P44,Sheet2!$H$3:$H$5,Sheet2!$I$3:$I$5,,-1)</f>
        <v>1.45</v>
      </c>
      <c r="E287">
        <f>_xlfn.XLOOKUP(insurance_policy_data!M44,Sheet2!$K$3:$K$7,Sheet2!$L$3:$L$7,,-1)</f>
        <v>1.39</v>
      </c>
      <c r="F287">
        <f>_xlfn.XLOOKUP(insurance_policy_data!H44,Sheet2!$N$3:$N$9,Sheet2!$O$3:$O$9,,-1)</f>
        <v>1.1000000000000001</v>
      </c>
      <c r="G287">
        <f>_xlfn.XLOOKUP(insurance_policy_data!L44,Sheet2!$Q$3:$Q$4,Sheet2!$R$3:$R$4)</f>
        <v>1.5</v>
      </c>
      <c r="H287">
        <f>_xlfn.XLOOKUP(insurance_policy_data!N44,Sheet2!$T$3:$T$5,Sheet2!$U$3:$U$5,,-1)</f>
        <v>1.2</v>
      </c>
      <c r="I287">
        <f t="shared" si="4"/>
        <v>560.42057808000004</v>
      </c>
    </row>
    <row r="288" spans="2:9" x14ac:dyDescent="0.3">
      <c r="B288">
        <f>_xlfn.XLOOKUP(insurance_policy_data!B183,Sheet2!$B$3:$B$8,Sheet2!$C$3:$C$8,,-1)</f>
        <v>1.27</v>
      </c>
      <c r="C288">
        <f>_xlfn.XLOOKUP(insurance_policy_data!I183,Sheet2!$E$3:$E$7,Sheet2!$F$3:$F$7,,-1)</f>
        <v>1.25</v>
      </c>
      <c r="D288">
        <f>_xlfn.XLOOKUP(insurance_policy_data!P183,Sheet2!$H$3:$H$5,Sheet2!$I$3:$I$5,,-1)</f>
        <v>1.45</v>
      </c>
      <c r="E288">
        <f>_xlfn.XLOOKUP(insurance_policy_data!M183,Sheet2!$K$3:$K$7,Sheet2!$L$3:$L$7,,-1)</f>
        <v>1.39</v>
      </c>
      <c r="F288">
        <f>_xlfn.XLOOKUP(insurance_policy_data!H183,Sheet2!$N$3:$N$9,Sheet2!$O$3:$O$9,,-1)</f>
        <v>1.33</v>
      </c>
      <c r="G288">
        <f>_xlfn.XLOOKUP(insurance_policy_data!L183,Sheet2!$Q$3:$Q$4,Sheet2!$R$3:$R$4)</f>
        <v>1.5</v>
      </c>
      <c r="H288">
        <f>_xlfn.XLOOKUP(insurance_policy_data!N183,Sheet2!$T$3:$T$5,Sheet2!$U$3:$U$5,,-1)</f>
        <v>1.1000000000000001</v>
      </c>
      <c r="I288">
        <f t="shared" si="4"/>
        <v>561.72287325000002</v>
      </c>
    </row>
    <row r="289" spans="2:9" x14ac:dyDescent="0.3">
      <c r="B289">
        <f>_xlfn.XLOOKUP(insurance_policy_data!B124,Sheet2!$B$3:$B$8,Sheet2!$C$3:$C$8,,-1)</f>
        <v>1.21</v>
      </c>
      <c r="C289">
        <f>_xlfn.XLOOKUP(insurance_policy_data!I124,Sheet2!$E$3:$E$7,Sheet2!$F$3:$F$7,,-1)</f>
        <v>1.25</v>
      </c>
      <c r="D289">
        <f>_xlfn.XLOOKUP(insurance_policy_data!P124,Sheet2!$H$3:$H$5,Sheet2!$I$3:$I$5,,-1)</f>
        <v>1.45</v>
      </c>
      <c r="E289">
        <f>_xlfn.XLOOKUP(insurance_policy_data!M124,Sheet2!$K$3:$K$7,Sheet2!$L$3:$L$7,,-1)</f>
        <v>1.39</v>
      </c>
      <c r="F289">
        <f>_xlfn.XLOOKUP(insurance_policy_data!H124,Sheet2!$N$3:$N$9,Sheet2!$O$3:$O$9,,-1)</f>
        <v>1.29</v>
      </c>
      <c r="G289">
        <f>_xlfn.XLOOKUP(insurance_policy_data!L124,Sheet2!$Q$3:$Q$4,Sheet2!$R$3:$R$4)</f>
        <v>1.5</v>
      </c>
      <c r="H289">
        <f>_xlfn.XLOOKUP(insurance_policy_data!N124,Sheet2!$T$3:$T$5,Sheet2!$U$3:$U$5,,-1)</f>
        <v>1.2</v>
      </c>
      <c r="I289">
        <f t="shared" si="4"/>
        <v>566.27891099999999</v>
      </c>
    </row>
    <row r="290" spans="2:9" x14ac:dyDescent="0.3">
      <c r="B290">
        <f>_xlfn.XLOOKUP(insurance_policy_data!B311,Sheet2!$B$3:$B$8,Sheet2!$C$3:$C$8,,-1)</f>
        <v>1.35</v>
      </c>
      <c r="C290">
        <f>_xlfn.XLOOKUP(insurance_policy_data!I311,Sheet2!$E$3:$E$7,Sheet2!$F$3:$F$7,,-1)</f>
        <v>1.31</v>
      </c>
      <c r="D290">
        <f>_xlfn.XLOOKUP(insurance_policy_data!P311,Sheet2!$H$3:$H$5,Sheet2!$I$3:$I$5,,-1)</f>
        <v>1.45</v>
      </c>
      <c r="E290">
        <f>_xlfn.XLOOKUP(insurance_policy_data!M311,Sheet2!$K$3:$K$7,Sheet2!$L$3:$L$7,,-1)</f>
        <v>1.26</v>
      </c>
      <c r="F290">
        <f>_xlfn.XLOOKUP(insurance_policy_data!H311,Sheet2!$N$3:$N$9,Sheet2!$O$3:$O$9,,-1)</f>
        <v>1.33</v>
      </c>
      <c r="G290">
        <f>_xlfn.XLOOKUP(insurance_policy_data!L311,Sheet2!$Q$3:$Q$4,Sheet2!$R$3:$R$4)</f>
        <v>1.5</v>
      </c>
      <c r="H290">
        <f>_xlfn.XLOOKUP(insurance_policy_data!N311,Sheet2!$T$3:$T$5,Sheet2!$U$3:$U$5,,-1)</f>
        <v>1.1000000000000001</v>
      </c>
      <c r="I290">
        <f t="shared" si="4"/>
        <v>567.24305022000021</v>
      </c>
    </row>
    <row r="291" spans="2:9" x14ac:dyDescent="0.3">
      <c r="B291">
        <f>_xlfn.XLOOKUP(insurance_policy_data!B274,Sheet2!$B$3:$B$8,Sheet2!$C$3:$C$8,,-1)</f>
        <v>1.35</v>
      </c>
      <c r="C291">
        <f>_xlfn.XLOOKUP(insurance_policy_data!I274,Sheet2!$E$3:$E$7,Sheet2!$F$3:$F$7,,-1)</f>
        <v>1.31</v>
      </c>
      <c r="D291">
        <f>_xlfn.XLOOKUP(insurance_policy_data!P274,Sheet2!$H$3:$H$5,Sheet2!$I$3:$I$5,,-1)</f>
        <v>1.45</v>
      </c>
      <c r="E291">
        <f>_xlfn.XLOOKUP(insurance_policy_data!M274,Sheet2!$K$3:$K$7,Sheet2!$L$3:$L$7,,-1)</f>
        <v>1.3</v>
      </c>
      <c r="F291">
        <f>_xlfn.XLOOKUP(insurance_policy_data!H274,Sheet2!$N$3:$N$9,Sheet2!$O$3:$O$9,,-1)</f>
        <v>1.29</v>
      </c>
      <c r="G291">
        <f>_xlfn.XLOOKUP(insurance_policy_data!L274,Sheet2!$Q$3:$Q$4,Sheet2!$R$3:$R$4)</f>
        <v>1.5</v>
      </c>
      <c r="H291">
        <f>_xlfn.XLOOKUP(insurance_policy_data!N274,Sheet2!$T$3:$T$5,Sheet2!$U$3:$U$5,,-1)</f>
        <v>1.1000000000000001</v>
      </c>
      <c r="I291">
        <f t="shared" si="4"/>
        <v>567.6492393000002</v>
      </c>
    </row>
    <row r="292" spans="2:9" x14ac:dyDescent="0.3">
      <c r="B292">
        <f>_xlfn.XLOOKUP(insurance_policy_data!B90,Sheet2!$B$3:$B$8,Sheet2!$C$3:$C$8,,-1)</f>
        <v>1.35</v>
      </c>
      <c r="C292">
        <f>_xlfn.XLOOKUP(insurance_policy_data!I90,Sheet2!$E$3:$E$7,Sheet2!$F$3:$F$7,,-1)</f>
        <v>1.31</v>
      </c>
      <c r="D292">
        <f>_xlfn.XLOOKUP(insurance_policy_data!P90,Sheet2!$H$3:$H$5,Sheet2!$I$3:$I$5,,-1)</f>
        <v>1.45</v>
      </c>
      <c r="E292">
        <f>_xlfn.XLOOKUP(insurance_policy_data!M90,Sheet2!$K$3:$K$7,Sheet2!$L$3:$L$7,,-1)</f>
        <v>1.4</v>
      </c>
      <c r="F292">
        <f>_xlfn.XLOOKUP(insurance_policy_data!H90,Sheet2!$N$3:$N$9,Sheet2!$O$3:$O$9,,-1)</f>
        <v>1.1000000000000001</v>
      </c>
      <c r="G292">
        <f>_xlfn.XLOOKUP(insurance_policy_data!L90,Sheet2!$Q$3:$Q$4,Sheet2!$R$3:$R$4)</f>
        <v>1.5</v>
      </c>
      <c r="H292">
        <f>_xlfn.XLOOKUP(insurance_policy_data!N90,Sheet2!$T$3:$T$5,Sheet2!$U$3:$U$5,,-1)</f>
        <v>1.2</v>
      </c>
      <c r="I292">
        <f t="shared" si="4"/>
        <v>568.66471200000001</v>
      </c>
    </row>
    <row r="293" spans="2:9" x14ac:dyDescent="0.3">
      <c r="B293">
        <f>_xlfn.XLOOKUP(insurance_policy_data!B212,Sheet2!$B$3:$B$8,Sheet2!$C$3:$C$8,,-1)</f>
        <v>1.25</v>
      </c>
      <c r="C293">
        <f>_xlfn.XLOOKUP(insurance_policy_data!I212,Sheet2!$E$3:$E$7,Sheet2!$F$3:$F$7,,-1)</f>
        <v>1.3</v>
      </c>
      <c r="D293">
        <f>_xlfn.XLOOKUP(insurance_policy_data!P212,Sheet2!$H$3:$H$5,Sheet2!$I$3:$I$5,,-1)</f>
        <v>1.45</v>
      </c>
      <c r="E293">
        <f>_xlfn.XLOOKUP(insurance_policy_data!M212,Sheet2!$K$3:$K$7,Sheet2!$L$3:$L$7,,-1)</f>
        <v>1.4</v>
      </c>
      <c r="F293">
        <f>_xlfn.XLOOKUP(insurance_policy_data!H212,Sheet2!$N$3:$N$9,Sheet2!$O$3:$O$9,,-1)</f>
        <v>1.2</v>
      </c>
      <c r="G293">
        <f>_xlfn.XLOOKUP(insurance_policy_data!L212,Sheet2!$Q$3:$Q$4,Sheet2!$R$3:$R$4)</f>
        <v>1.5</v>
      </c>
      <c r="H293">
        <f>_xlfn.XLOOKUP(insurance_policy_data!N212,Sheet2!$T$3:$T$5,Sheet2!$U$3:$U$5,,-1)</f>
        <v>1.2</v>
      </c>
      <c r="I293">
        <f t="shared" si="4"/>
        <v>570.02399999999989</v>
      </c>
    </row>
    <row r="294" spans="2:9" x14ac:dyDescent="0.3">
      <c r="B294">
        <f>_xlfn.XLOOKUP(insurance_policy_data!B31,Sheet2!$B$3:$B$8,Sheet2!$C$3:$C$8,,-1)</f>
        <v>1.28</v>
      </c>
      <c r="C294">
        <f>_xlfn.XLOOKUP(insurance_policy_data!I31,Sheet2!$E$3:$E$7,Sheet2!$F$3:$F$7,,-1)</f>
        <v>1.25</v>
      </c>
      <c r="D294">
        <f>_xlfn.XLOOKUP(insurance_policy_data!P31,Sheet2!$H$3:$H$5,Sheet2!$I$3:$I$5,,-1)</f>
        <v>1.45</v>
      </c>
      <c r="E294">
        <f>_xlfn.XLOOKUP(insurance_policy_data!M31,Sheet2!$K$3:$K$7,Sheet2!$L$3:$L$7,,-1)</f>
        <v>1.4</v>
      </c>
      <c r="F294">
        <f>_xlfn.XLOOKUP(insurance_policy_data!H31,Sheet2!$N$3:$N$9,Sheet2!$O$3:$O$9,,-1)</f>
        <v>1.33</v>
      </c>
      <c r="G294">
        <f>_xlfn.XLOOKUP(insurance_policy_data!L31,Sheet2!$Q$3:$Q$4,Sheet2!$R$3:$R$4)</f>
        <v>1.5</v>
      </c>
      <c r="H294">
        <f>_xlfn.XLOOKUP(insurance_policy_data!N31,Sheet2!$T$3:$T$5,Sheet2!$U$3:$U$5,,-1)</f>
        <v>1.1000000000000001</v>
      </c>
      <c r="I294">
        <f t="shared" si="4"/>
        <v>570.21888000000013</v>
      </c>
    </row>
    <row r="295" spans="2:9" x14ac:dyDescent="0.3">
      <c r="B295">
        <f>_xlfn.XLOOKUP(insurance_policy_data!B135,Sheet2!$B$3:$B$8,Sheet2!$C$3:$C$8,,-1)</f>
        <v>1.34</v>
      </c>
      <c r="C295">
        <f>_xlfn.XLOOKUP(insurance_policy_data!I135,Sheet2!$E$3:$E$7,Sheet2!$F$3:$F$7,,-1)</f>
        <v>1.3</v>
      </c>
      <c r="D295">
        <f>_xlfn.XLOOKUP(insurance_policy_data!P135,Sheet2!$H$3:$H$5,Sheet2!$I$3:$I$5,,-1)</f>
        <v>1.45</v>
      </c>
      <c r="E295">
        <f>_xlfn.XLOOKUP(insurance_policy_data!M135,Sheet2!$K$3:$K$7,Sheet2!$L$3:$L$7,,-1)</f>
        <v>1.26</v>
      </c>
      <c r="F295">
        <f>_xlfn.XLOOKUP(insurance_policy_data!H135,Sheet2!$N$3:$N$9,Sheet2!$O$3:$O$9,,-1)</f>
        <v>1.36</v>
      </c>
      <c r="G295">
        <f>_xlfn.XLOOKUP(insurance_policy_data!L135,Sheet2!$Q$3:$Q$4,Sheet2!$R$3:$R$4)</f>
        <v>1.5</v>
      </c>
      <c r="H295">
        <f>_xlfn.XLOOKUP(insurance_policy_data!N135,Sheet2!$T$3:$T$5,Sheet2!$U$3:$U$5,,-1)</f>
        <v>1.1000000000000001</v>
      </c>
      <c r="I295">
        <f t="shared" si="4"/>
        <v>571.34645568000019</v>
      </c>
    </row>
    <row r="296" spans="2:9" x14ac:dyDescent="0.3">
      <c r="B296">
        <f>_xlfn.XLOOKUP(insurance_policy_data!B167,Sheet2!$B$3:$B$8,Sheet2!$C$3:$C$8,,-1)</f>
        <v>1.25</v>
      </c>
      <c r="C296">
        <f>_xlfn.XLOOKUP(insurance_policy_data!I167,Sheet2!$E$3:$E$7,Sheet2!$F$3:$F$7,,-1)</f>
        <v>1.3</v>
      </c>
      <c r="D296">
        <f>_xlfn.XLOOKUP(insurance_policy_data!P167,Sheet2!$H$3:$H$5,Sheet2!$I$3:$I$5,,-1)</f>
        <v>1.45</v>
      </c>
      <c r="E296">
        <f>_xlfn.XLOOKUP(insurance_policy_data!M167,Sheet2!$K$3:$K$7,Sheet2!$L$3:$L$7,,-1)</f>
        <v>1.4</v>
      </c>
      <c r="F296">
        <f>_xlfn.XLOOKUP(insurance_policy_data!H167,Sheet2!$N$3:$N$9,Sheet2!$O$3:$O$9,,-1)</f>
        <v>1.33</v>
      </c>
      <c r="G296">
        <f>_xlfn.XLOOKUP(insurance_policy_data!L167,Sheet2!$Q$3:$Q$4,Sheet2!$R$3:$R$4)</f>
        <v>1.5</v>
      </c>
      <c r="H296">
        <f>_xlfn.XLOOKUP(insurance_policy_data!N167,Sheet2!$T$3:$T$5,Sheet2!$U$3:$U$5,,-1)</f>
        <v>1.1000000000000001</v>
      </c>
      <c r="I296">
        <f t="shared" si="4"/>
        <v>579.12855000000002</v>
      </c>
    </row>
    <row r="297" spans="2:9" x14ac:dyDescent="0.3">
      <c r="B297">
        <f>_xlfn.XLOOKUP(insurance_policy_data!B64,Sheet2!$B$3:$B$8,Sheet2!$C$3:$C$8,,-1)</f>
        <v>1.34</v>
      </c>
      <c r="C297">
        <f>_xlfn.XLOOKUP(insurance_policy_data!I64,Sheet2!$E$3:$E$7,Sheet2!$F$3:$F$7,,-1)</f>
        <v>1.3</v>
      </c>
      <c r="D297">
        <f>_xlfn.XLOOKUP(insurance_policy_data!P64,Sheet2!$H$3:$H$5,Sheet2!$I$3:$I$5,,-1)</f>
        <v>1.45</v>
      </c>
      <c r="E297">
        <f>_xlfn.XLOOKUP(insurance_policy_data!M64,Sheet2!$K$3:$K$7,Sheet2!$L$3:$L$7,,-1)</f>
        <v>1.39</v>
      </c>
      <c r="F297">
        <f>_xlfn.XLOOKUP(insurance_policy_data!H64,Sheet2!$N$3:$N$9,Sheet2!$O$3:$O$9,,-1)</f>
        <v>1.25</v>
      </c>
      <c r="G297">
        <f>_xlfn.XLOOKUP(insurance_policy_data!L64,Sheet2!$Q$3:$Q$4,Sheet2!$R$3:$R$4)</f>
        <v>1.5</v>
      </c>
      <c r="H297">
        <f>_xlfn.XLOOKUP(insurance_policy_data!N64,Sheet2!$T$3:$T$5,Sheet2!$U$3:$U$5,,-1)</f>
        <v>1.1000000000000001</v>
      </c>
      <c r="I297">
        <f t="shared" si="4"/>
        <v>579.31516499999998</v>
      </c>
    </row>
    <row r="298" spans="2:9" x14ac:dyDescent="0.3">
      <c r="B298">
        <f>_xlfn.XLOOKUP(insurance_policy_data!B254,Sheet2!$B$3:$B$8,Sheet2!$C$3:$C$8,,-1)</f>
        <v>1.28</v>
      </c>
      <c r="C298">
        <f>_xlfn.XLOOKUP(insurance_policy_data!I254,Sheet2!$E$3:$E$7,Sheet2!$F$3:$F$7,,-1)</f>
        <v>1.32</v>
      </c>
      <c r="D298">
        <f>_xlfn.XLOOKUP(insurance_policy_data!P254,Sheet2!$H$3:$H$5,Sheet2!$I$3:$I$5,,-1)</f>
        <v>1.45</v>
      </c>
      <c r="E298">
        <f>_xlfn.XLOOKUP(insurance_policy_data!M254,Sheet2!$K$3:$K$7,Sheet2!$L$3:$L$7,,-1)</f>
        <v>1.39</v>
      </c>
      <c r="F298">
        <f>_xlfn.XLOOKUP(insurance_policy_data!H254,Sheet2!$N$3:$N$9,Sheet2!$O$3:$O$9,,-1)</f>
        <v>1.29</v>
      </c>
      <c r="G298">
        <f>_xlfn.XLOOKUP(insurance_policy_data!L254,Sheet2!$Q$3:$Q$4,Sheet2!$R$3:$R$4)</f>
        <v>1.5</v>
      </c>
      <c r="H298">
        <f>_xlfn.XLOOKUP(insurance_policy_data!N254,Sheet2!$T$3:$T$5,Sheet2!$U$3:$U$5,,-1)</f>
        <v>1.1000000000000001</v>
      </c>
      <c r="I298">
        <f t="shared" si="4"/>
        <v>579.86960486400005</v>
      </c>
    </row>
    <row r="299" spans="2:9" x14ac:dyDescent="0.3">
      <c r="B299">
        <f>_xlfn.XLOOKUP(insurance_policy_data!B250,Sheet2!$B$3:$B$8,Sheet2!$C$3:$C$8,,-1)</f>
        <v>1.21</v>
      </c>
      <c r="C299">
        <f>_xlfn.XLOOKUP(insurance_policy_data!I250,Sheet2!$E$3:$E$7,Sheet2!$F$3:$F$7,,-1)</f>
        <v>1.25</v>
      </c>
      <c r="D299">
        <f>_xlfn.XLOOKUP(insurance_policy_data!P250,Sheet2!$H$3:$H$5,Sheet2!$I$3:$I$5,,-1)</f>
        <v>1.45</v>
      </c>
      <c r="E299">
        <f>_xlfn.XLOOKUP(insurance_policy_data!M250,Sheet2!$K$3:$K$7,Sheet2!$L$3:$L$7,,-1)</f>
        <v>1.39</v>
      </c>
      <c r="F299">
        <f>_xlfn.XLOOKUP(insurance_policy_data!H250,Sheet2!$N$3:$N$9,Sheet2!$O$3:$O$9,,-1)</f>
        <v>1.33</v>
      </c>
      <c r="G299">
        <f>_xlfn.XLOOKUP(insurance_policy_data!L250,Sheet2!$Q$3:$Q$4,Sheet2!$R$3:$R$4)</f>
        <v>1.5</v>
      </c>
      <c r="H299">
        <f>_xlfn.XLOOKUP(insurance_policy_data!N250,Sheet2!$T$3:$T$5,Sheet2!$U$3:$U$5,,-1)</f>
        <v>1.2</v>
      </c>
      <c r="I299">
        <f t="shared" si="4"/>
        <v>583.83794699999987</v>
      </c>
    </row>
    <row r="300" spans="2:9" x14ac:dyDescent="0.3">
      <c r="B300">
        <f>_xlfn.XLOOKUP(insurance_policy_data!B162,Sheet2!$B$3:$B$8,Sheet2!$C$3:$C$8,,-1)</f>
        <v>1.27</v>
      </c>
      <c r="C300">
        <f>_xlfn.XLOOKUP(insurance_policy_data!I162,Sheet2!$E$3:$E$7,Sheet2!$F$3:$F$7,,-1)</f>
        <v>1.25</v>
      </c>
      <c r="D300">
        <f>_xlfn.XLOOKUP(insurance_policy_data!P162,Sheet2!$H$3:$H$5,Sheet2!$I$3:$I$5,,-1)</f>
        <v>1.45</v>
      </c>
      <c r="E300">
        <f>_xlfn.XLOOKUP(insurance_policy_data!M162,Sheet2!$K$3:$K$7,Sheet2!$L$3:$L$7,,-1)</f>
        <v>1.3</v>
      </c>
      <c r="F300">
        <f>_xlfn.XLOOKUP(insurance_policy_data!H162,Sheet2!$N$3:$N$9,Sheet2!$O$3:$O$9,,-1)</f>
        <v>1.36</v>
      </c>
      <c r="G300">
        <f>_xlfn.XLOOKUP(insurance_policy_data!L162,Sheet2!$Q$3:$Q$4,Sheet2!$R$3:$R$4)</f>
        <v>1.5</v>
      </c>
      <c r="H300">
        <f>_xlfn.XLOOKUP(insurance_policy_data!N162,Sheet2!$T$3:$T$5,Sheet2!$U$3:$U$5,,-1)</f>
        <v>1.2</v>
      </c>
      <c r="I300">
        <f t="shared" si="4"/>
        <v>586.03896000000009</v>
      </c>
    </row>
    <row r="301" spans="2:9" x14ac:dyDescent="0.3">
      <c r="B301">
        <f>_xlfn.XLOOKUP(insurance_policy_data!B265,Sheet2!$B$3:$B$8,Sheet2!$C$3:$C$8,,-1)</f>
        <v>1.25</v>
      </c>
      <c r="C301">
        <f>_xlfn.XLOOKUP(insurance_policy_data!I265,Sheet2!$E$3:$E$7,Sheet2!$F$3:$F$7,,-1)</f>
        <v>1.3</v>
      </c>
      <c r="D301">
        <f>_xlfn.XLOOKUP(insurance_policy_data!P265,Sheet2!$H$3:$H$5,Sheet2!$I$3:$I$5,,-1)</f>
        <v>1.45</v>
      </c>
      <c r="E301">
        <f>_xlfn.XLOOKUP(insurance_policy_data!M265,Sheet2!$K$3:$K$7,Sheet2!$L$3:$L$7,,-1)</f>
        <v>1.3</v>
      </c>
      <c r="F301">
        <f>_xlfn.XLOOKUP(insurance_policy_data!H265,Sheet2!$N$3:$N$9,Sheet2!$O$3:$O$9,,-1)</f>
        <v>1.33</v>
      </c>
      <c r="G301">
        <f>_xlfn.XLOOKUP(insurance_policy_data!L265,Sheet2!$Q$3:$Q$4,Sheet2!$R$3:$R$4)</f>
        <v>1.5</v>
      </c>
      <c r="H301">
        <f>_xlfn.XLOOKUP(insurance_policy_data!N265,Sheet2!$T$3:$T$5,Sheet2!$U$3:$U$5,,-1)</f>
        <v>1.2</v>
      </c>
      <c r="I301">
        <f t="shared" si="4"/>
        <v>586.64969999999994</v>
      </c>
    </row>
    <row r="302" spans="2:9" x14ac:dyDescent="0.3">
      <c r="B302">
        <f>_xlfn.XLOOKUP(insurance_policy_data!B276,Sheet2!$B$3:$B$8,Sheet2!$C$3:$C$8,,-1)</f>
        <v>1.25</v>
      </c>
      <c r="C302">
        <f>_xlfn.XLOOKUP(insurance_policy_data!I276,Sheet2!$E$3:$E$7,Sheet2!$F$3:$F$7,,-1)</f>
        <v>1.3</v>
      </c>
      <c r="D302">
        <f>_xlfn.XLOOKUP(insurance_policy_data!P276,Sheet2!$H$3:$H$5,Sheet2!$I$3:$I$5,,-1)</f>
        <v>1.45</v>
      </c>
      <c r="E302">
        <f>_xlfn.XLOOKUP(insurance_policy_data!M276,Sheet2!$K$3:$K$7,Sheet2!$L$3:$L$7,,-1)</f>
        <v>1.3</v>
      </c>
      <c r="F302">
        <f>_xlfn.XLOOKUP(insurance_policy_data!H276,Sheet2!$N$3:$N$9,Sheet2!$O$3:$O$9,,-1)</f>
        <v>1.33</v>
      </c>
      <c r="G302">
        <f>_xlfn.XLOOKUP(insurance_policy_data!L276,Sheet2!$Q$3:$Q$4,Sheet2!$R$3:$R$4)</f>
        <v>1.5</v>
      </c>
      <c r="H302">
        <f>_xlfn.XLOOKUP(insurance_policy_data!N276,Sheet2!$T$3:$T$5,Sheet2!$U$3:$U$5,,-1)</f>
        <v>1.2</v>
      </c>
      <c r="I302">
        <f t="shared" si="4"/>
        <v>586.64969999999994</v>
      </c>
    </row>
    <row r="303" spans="2:9" x14ac:dyDescent="0.3">
      <c r="B303">
        <f>_xlfn.XLOOKUP(insurance_policy_data!B20,Sheet2!$B$3:$B$8,Sheet2!$C$3:$C$8,,-1)</f>
        <v>1.21</v>
      </c>
      <c r="C303">
        <f>_xlfn.XLOOKUP(insurance_policy_data!I20,Sheet2!$E$3:$E$7,Sheet2!$F$3:$F$7,,-1)</f>
        <v>1.25</v>
      </c>
      <c r="D303">
        <f>_xlfn.XLOOKUP(insurance_policy_data!P20,Sheet2!$H$3:$H$5,Sheet2!$I$3:$I$5,,-1)</f>
        <v>1.45</v>
      </c>
      <c r="E303">
        <f>_xlfn.XLOOKUP(insurance_policy_data!M20,Sheet2!$K$3:$K$7,Sheet2!$L$3:$L$7,,-1)</f>
        <v>1.4</v>
      </c>
      <c r="F303">
        <f>_xlfn.XLOOKUP(insurance_policy_data!H20,Sheet2!$N$3:$N$9,Sheet2!$O$3:$O$9,,-1)</f>
        <v>1.33</v>
      </c>
      <c r="G303">
        <f>_xlfn.XLOOKUP(insurance_policy_data!L20,Sheet2!$Q$3:$Q$4,Sheet2!$R$3:$R$4)</f>
        <v>1.5</v>
      </c>
      <c r="H303">
        <f>_xlfn.XLOOKUP(insurance_policy_data!N20,Sheet2!$T$3:$T$5,Sheet2!$U$3:$U$5,,-1)</f>
        <v>1.2</v>
      </c>
      <c r="I303">
        <f t="shared" si="4"/>
        <v>588.0382199999998</v>
      </c>
    </row>
    <row r="304" spans="2:9" x14ac:dyDescent="0.3">
      <c r="B304">
        <f>_xlfn.XLOOKUP(insurance_policy_data!B208,Sheet2!$B$3:$B$8,Sheet2!$C$3:$C$8,,-1)</f>
        <v>1.21</v>
      </c>
      <c r="C304">
        <f>_xlfn.XLOOKUP(insurance_policy_data!I208,Sheet2!$E$3:$E$7,Sheet2!$F$3:$F$7,,-1)</f>
        <v>1.25</v>
      </c>
      <c r="D304">
        <f>_xlfn.XLOOKUP(insurance_policy_data!P208,Sheet2!$H$3:$H$5,Sheet2!$I$3:$I$5,,-1)</f>
        <v>1.45</v>
      </c>
      <c r="E304">
        <f>_xlfn.XLOOKUP(insurance_policy_data!M208,Sheet2!$K$3:$K$7,Sheet2!$L$3:$L$7,,-1)</f>
        <v>1.4</v>
      </c>
      <c r="F304">
        <f>_xlfn.XLOOKUP(insurance_policy_data!H208,Sheet2!$N$3:$N$9,Sheet2!$O$3:$O$9,,-1)</f>
        <v>1.33</v>
      </c>
      <c r="G304">
        <f>_xlfn.XLOOKUP(insurance_policy_data!L208,Sheet2!$Q$3:$Q$4,Sheet2!$R$3:$R$4)</f>
        <v>1.5</v>
      </c>
      <c r="H304">
        <f>_xlfn.XLOOKUP(insurance_policy_data!N208,Sheet2!$T$3:$T$5,Sheet2!$U$3:$U$5,,-1)</f>
        <v>1.2</v>
      </c>
      <c r="I304">
        <f t="shared" si="4"/>
        <v>588.0382199999998</v>
      </c>
    </row>
    <row r="305" spans="2:9" x14ac:dyDescent="0.3">
      <c r="B305">
        <f>_xlfn.XLOOKUP(insurance_policy_data!B146,Sheet2!$B$3:$B$8,Sheet2!$C$3:$C$8,,-1)</f>
        <v>1.27</v>
      </c>
      <c r="C305">
        <f>_xlfn.XLOOKUP(insurance_policy_data!I146,Sheet2!$E$3:$E$7,Sheet2!$F$3:$F$7,,-1)</f>
        <v>1.25</v>
      </c>
      <c r="D305">
        <f>_xlfn.XLOOKUP(insurance_policy_data!P146,Sheet2!$H$3:$H$5,Sheet2!$I$3:$I$5,,-1)</f>
        <v>1.45</v>
      </c>
      <c r="E305">
        <f>_xlfn.XLOOKUP(insurance_policy_data!M146,Sheet2!$K$3:$K$7,Sheet2!$L$3:$L$7,,-1)</f>
        <v>1.4</v>
      </c>
      <c r="F305">
        <f>_xlfn.XLOOKUP(insurance_policy_data!H146,Sheet2!$N$3:$N$9,Sheet2!$O$3:$O$9,,-1)</f>
        <v>1.29</v>
      </c>
      <c r="G305">
        <f>_xlfn.XLOOKUP(insurance_policy_data!L146,Sheet2!$Q$3:$Q$4,Sheet2!$R$3:$R$4)</f>
        <v>1.5</v>
      </c>
      <c r="H305">
        <f>_xlfn.XLOOKUP(insurance_policy_data!N146,Sheet2!$T$3:$T$5,Sheet2!$U$3:$U$5,,-1)</f>
        <v>1.2</v>
      </c>
      <c r="I305">
        <f t="shared" si="4"/>
        <v>598.63481999999999</v>
      </c>
    </row>
    <row r="306" spans="2:9" x14ac:dyDescent="0.3">
      <c r="B306">
        <f>_xlfn.XLOOKUP(insurance_policy_data!B121,Sheet2!$B$3:$B$8,Sheet2!$C$3:$C$8,,-1)</f>
        <v>1.35</v>
      </c>
      <c r="C306">
        <f>_xlfn.XLOOKUP(insurance_policy_data!I121,Sheet2!$E$3:$E$7,Sheet2!$F$3:$F$7,,-1)</f>
        <v>1.3</v>
      </c>
      <c r="D306">
        <f>_xlfn.XLOOKUP(insurance_policy_data!P121,Sheet2!$H$3:$H$5,Sheet2!$I$3:$I$5,,-1)</f>
        <v>1.45</v>
      </c>
      <c r="E306">
        <f>_xlfn.XLOOKUP(insurance_policy_data!M121,Sheet2!$K$3:$K$7,Sheet2!$L$3:$L$7,,-1)</f>
        <v>1.3</v>
      </c>
      <c r="F306">
        <f>_xlfn.XLOOKUP(insurance_policy_data!H121,Sheet2!$N$3:$N$9,Sheet2!$O$3:$O$9,,-1)</f>
        <v>1.29</v>
      </c>
      <c r="G306">
        <f>_xlfn.XLOOKUP(insurance_policy_data!L121,Sheet2!$Q$3:$Q$4,Sheet2!$R$3:$R$4)</f>
        <v>1.5</v>
      </c>
      <c r="H306">
        <f>_xlfn.XLOOKUP(insurance_policy_data!N121,Sheet2!$T$3:$T$5,Sheet2!$U$3:$U$5,,-1)</f>
        <v>1.2</v>
      </c>
      <c r="I306">
        <f t="shared" si="4"/>
        <v>614.52658800000017</v>
      </c>
    </row>
    <row r="307" spans="2:9" x14ac:dyDescent="0.3">
      <c r="B307">
        <f>_xlfn.XLOOKUP(insurance_policy_data!B306,Sheet2!$B$3:$B$8,Sheet2!$C$3:$C$8,,-1)</f>
        <v>1.34</v>
      </c>
      <c r="C307">
        <f>_xlfn.XLOOKUP(insurance_policy_data!I306,Sheet2!$E$3:$E$7,Sheet2!$F$3:$F$7,,-1)</f>
        <v>1.31</v>
      </c>
      <c r="D307">
        <f>_xlfn.XLOOKUP(insurance_policy_data!P306,Sheet2!$H$3:$H$5,Sheet2!$I$3:$I$5,,-1)</f>
        <v>1.45</v>
      </c>
      <c r="E307">
        <f>_xlfn.XLOOKUP(insurance_policy_data!M306,Sheet2!$K$3:$K$7,Sheet2!$L$3:$L$7,,-1)</f>
        <v>1.4</v>
      </c>
      <c r="F307">
        <f>_xlfn.XLOOKUP(insurance_policy_data!H306,Sheet2!$N$3:$N$9,Sheet2!$O$3:$O$9,,-1)</f>
        <v>1.2</v>
      </c>
      <c r="G307">
        <f>_xlfn.XLOOKUP(insurance_policy_data!L306,Sheet2!$Q$3:$Q$4,Sheet2!$R$3:$R$4)</f>
        <v>1.5</v>
      </c>
      <c r="H307">
        <f>_xlfn.XLOOKUP(insurance_policy_data!N306,Sheet2!$T$3:$T$5,Sheet2!$U$3:$U$5,,-1)</f>
        <v>1.2</v>
      </c>
      <c r="I307">
        <f t="shared" si="4"/>
        <v>615.76623359999985</v>
      </c>
    </row>
    <row r="308" spans="2:9" x14ac:dyDescent="0.3">
      <c r="B308">
        <f>_xlfn.XLOOKUP(insurance_policy_data!B294,Sheet2!$B$3:$B$8,Sheet2!$C$3:$C$8,,-1)</f>
        <v>1.35</v>
      </c>
      <c r="C308">
        <f>_xlfn.XLOOKUP(insurance_policy_data!I294,Sheet2!$E$3:$E$7,Sheet2!$F$3:$F$7,,-1)</f>
        <v>1.31</v>
      </c>
      <c r="D308">
        <f>_xlfn.XLOOKUP(insurance_policy_data!P294,Sheet2!$H$3:$H$5,Sheet2!$I$3:$I$5,,-1)</f>
        <v>1.45</v>
      </c>
      <c r="E308">
        <f>_xlfn.XLOOKUP(insurance_policy_data!M294,Sheet2!$K$3:$K$7,Sheet2!$L$3:$L$7,,-1)</f>
        <v>1.39</v>
      </c>
      <c r="F308">
        <f>_xlfn.XLOOKUP(insurance_policy_data!H294,Sheet2!$N$3:$N$9,Sheet2!$O$3:$O$9,,-1)</f>
        <v>1.2</v>
      </c>
      <c r="G308">
        <f>_xlfn.XLOOKUP(insurance_policy_data!L294,Sheet2!$Q$3:$Q$4,Sheet2!$R$3:$R$4)</f>
        <v>1.5</v>
      </c>
      <c r="H308">
        <f>_xlfn.XLOOKUP(insurance_policy_data!N294,Sheet2!$T$3:$T$5,Sheet2!$U$3:$U$5,,-1)</f>
        <v>1.2</v>
      </c>
      <c r="I308">
        <f t="shared" si="4"/>
        <v>615.93035039999995</v>
      </c>
    </row>
    <row r="309" spans="2:9" x14ac:dyDescent="0.3">
      <c r="B309">
        <f>_xlfn.XLOOKUP(insurance_policy_data!B132,Sheet2!$B$3:$B$8,Sheet2!$C$3:$C$8,,-1)</f>
        <v>1.35</v>
      </c>
      <c r="C309">
        <f>_xlfn.XLOOKUP(insurance_policy_data!I132,Sheet2!$E$3:$E$7,Sheet2!$F$3:$F$7,,-1)</f>
        <v>1.3</v>
      </c>
      <c r="D309">
        <f>_xlfn.XLOOKUP(insurance_policy_data!P132,Sheet2!$H$3:$H$5,Sheet2!$I$3:$I$5,,-1)</f>
        <v>1.45</v>
      </c>
      <c r="E309">
        <f>_xlfn.XLOOKUP(insurance_policy_data!M132,Sheet2!$K$3:$K$7,Sheet2!$L$3:$L$7,,-1)</f>
        <v>1.4</v>
      </c>
      <c r="F309">
        <f>_xlfn.XLOOKUP(insurance_policy_data!H132,Sheet2!$N$3:$N$9,Sheet2!$O$3:$O$9,,-1)</f>
        <v>1.33</v>
      </c>
      <c r="G309">
        <f>_xlfn.XLOOKUP(insurance_policy_data!L132,Sheet2!$Q$3:$Q$4,Sheet2!$R$3:$R$4)</f>
        <v>1.5</v>
      </c>
      <c r="H309">
        <f>_xlfn.XLOOKUP(insurance_policy_data!N132,Sheet2!$T$3:$T$5,Sheet2!$U$3:$U$5,,-1)</f>
        <v>1.1000000000000001</v>
      </c>
      <c r="I309">
        <f t="shared" si="4"/>
        <v>625.45883400000002</v>
      </c>
    </row>
    <row r="310" spans="2:9" x14ac:dyDescent="0.3">
      <c r="B310">
        <f>_xlfn.XLOOKUP(insurance_policy_data!B71,Sheet2!$B$3:$B$8,Sheet2!$C$3:$C$8,,-1)</f>
        <v>1.34</v>
      </c>
      <c r="C310">
        <f>_xlfn.XLOOKUP(insurance_policy_data!I71,Sheet2!$E$3:$E$7,Sheet2!$F$3:$F$7,,-1)</f>
        <v>1.31</v>
      </c>
      <c r="D310">
        <f>_xlfn.XLOOKUP(insurance_policy_data!P71,Sheet2!$H$3:$H$5,Sheet2!$I$3:$I$5,,-1)</f>
        <v>1.45</v>
      </c>
      <c r="E310">
        <f>_xlfn.XLOOKUP(insurance_policy_data!M71,Sheet2!$K$3:$K$7,Sheet2!$L$3:$L$7,,-1)</f>
        <v>1.26</v>
      </c>
      <c r="F310">
        <f>_xlfn.XLOOKUP(insurance_policy_data!H71,Sheet2!$N$3:$N$9,Sheet2!$O$3:$O$9,,-1)</f>
        <v>1.36</v>
      </c>
      <c r="G310">
        <f>_xlfn.XLOOKUP(insurance_policy_data!L71,Sheet2!$Q$3:$Q$4,Sheet2!$R$3:$R$4)</f>
        <v>1.5</v>
      </c>
      <c r="H310">
        <f>_xlfn.XLOOKUP(insurance_policy_data!N71,Sheet2!$T$3:$T$5,Sheet2!$U$3:$U$5,,-1)</f>
        <v>1.2</v>
      </c>
      <c r="I310">
        <f t="shared" si="4"/>
        <v>628.08155827200005</v>
      </c>
    </row>
    <row r="311" spans="2:9" x14ac:dyDescent="0.3">
      <c r="B311">
        <f>_xlfn.XLOOKUP(insurance_policy_data!B125,Sheet2!$B$3:$B$8,Sheet2!$C$3:$C$8,,-1)</f>
        <v>1.35</v>
      </c>
      <c r="C311">
        <f>_xlfn.XLOOKUP(insurance_policy_data!I125,Sheet2!$E$3:$E$7,Sheet2!$F$3:$F$7,,-1)</f>
        <v>1.31</v>
      </c>
      <c r="D311">
        <f>_xlfn.XLOOKUP(insurance_policy_data!P125,Sheet2!$H$3:$H$5,Sheet2!$I$3:$I$5,,-1)</f>
        <v>1.45</v>
      </c>
      <c r="E311">
        <f>_xlfn.XLOOKUP(insurance_policy_data!M125,Sheet2!$K$3:$K$7,Sheet2!$L$3:$L$7,,-1)</f>
        <v>1.4</v>
      </c>
      <c r="F311">
        <f>_xlfn.XLOOKUP(insurance_policy_data!H125,Sheet2!$N$3:$N$9,Sheet2!$O$3:$O$9,,-1)</f>
        <v>1.33</v>
      </c>
      <c r="G311">
        <f>_xlfn.XLOOKUP(insurance_policy_data!L125,Sheet2!$Q$3:$Q$4,Sheet2!$R$3:$R$4)</f>
        <v>1.5</v>
      </c>
      <c r="H311">
        <f>_xlfn.XLOOKUP(insurance_policy_data!N125,Sheet2!$T$3:$T$5,Sheet2!$U$3:$U$5,,-1)</f>
        <v>1.1000000000000001</v>
      </c>
      <c r="I311">
        <f t="shared" si="4"/>
        <v>630.27005580000014</v>
      </c>
    </row>
    <row r="312" spans="2:9" x14ac:dyDescent="0.3">
      <c r="B312">
        <f>_xlfn.XLOOKUP(insurance_policy_data!B281,Sheet2!$B$3:$B$8,Sheet2!$C$3:$C$8,,-1)</f>
        <v>1.35</v>
      </c>
      <c r="C312">
        <f>_xlfn.XLOOKUP(insurance_policy_data!I281,Sheet2!$E$3:$E$7,Sheet2!$F$3:$F$7,,-1)</f>
        <v>1.31</v>
      </c>
      <c r="D312">
        <f>_xlfn.XLOOKUP(insurance_policy_data!P281,Sheet2!$H$3:$H$5,Sheet2!$I$3:$I$5,,-1)</f>
        <v>1.45</v>
      </c>
      <c r="E312">
        <f>_xlfn.XLOOKUP(insurance_policy_data!M281,Sheet2!$K$3:$K$7,Sheet2!$L$3:$L$7,,-1)</f>
        <v>1.4</v>
      </c>
      <c r="F312">
        <f>_xlfn.XLOOKUP(insurance_policy_data!H281,Sheet2!$N$3:$N$9,Sheet2!$O$3:$O$9,,-1)</f>
        <v>1.33</v>
      </c>
      <c r="G312">
        <f>_xlfn.XLOOKUP(insurance_policy_data!L281,Sheet2!$Q$3:$Q$4,Sheet2!$R$3:$R$4)</f>
        <v>1.5</v>
      </c>
      <c r="H312">
        <f>_xlfn.XLOOKUP(insurance_policy_data!N281,Sheet2!$T$3:$T$5,Sheet2!$U$3:$U$5,,-1)</f>
        <v>1.1000000000000001</v>
      </c>
      <c r="I312">
        <f t="shared" si="4"/>
        <v>630.27005580000014</v>
      </c>
    </row>
    <row r="313" spans="2:9" x14ac:dyDescent="0.3">
      <c r="B313">
        <f>_xlfn.XLOOKUP(insurance_policy_data!B185,Sheet2!$B$3:$B$8,Sheet2!$C$3:$C$8,,-1)</f>
        <v>1.34</v>
      </c>
      <c r="C313">
        <f>_xlfn.XLOOKUP(insurance_policy_data!I185,Sheet2!$E$3:$E$7,Sheet2!$F$3:$F$7,,-1)</f>
        <v>1.3</v>
      </c>
      <c r="D313">
        <f>_xlfn.XLOOKUP(insurance_policy_data!P185,Sheet2!$H$3:$H$5,Sheet2!$I$3:$I$5,,-1)</f>
        <v>1.45</v>
      </c>
      <c r="E313">
        <f>_xlfn.XLOOKUP(insurance_policy_data!M185,Sheet2!$K$3:$K$7,Sheet2!$L$3:$L$7,,-1)</f>
        <v>1.4</v>
      </c>
      <c r="F313">
        <f>_xlfn.XLOOKUP(insurance_policy_data!H185,Sheet2!$N$3:$N$9,Sheet2!$O$3:$O$9,,-1)</f>
        <v>1.25</v>
      </c>
      <c r="G313">
        <f>_xlfn.XLOOKUP(insurance_policy_data!L185,Sheet2!$Q$3:$Q$4,Sheet2!$R$3:$R$4)</f>
        <v>1.5</v>
      </c>
      <c r="H313">
        <f>_xlfn.XLOOKUP(insurance_policy_data!N185,Sheet2!$T$3:$T$5,Sheet2!$U$3:$U$5,,-1)</f>
        <v>1.2</v>
      </c>
      <c r="I313">
        <f t="shared" si="4"/>
        <v>636.52679999999998</v>
      </c>
    </row>
    <row r="314" spans="2:9" x14ac:dyDescent="0.3">
      <c r="B314">
        <f>_xlfn.XLOOKUP(insurance_policy_data!B215,Sheet2!$B$3:$B$8,Sheet2!$C$3:$C$8,,-1)</f>
        <v>1.34</v>
      </c>
      <c r="C314">
        <f>_xlfn.XLOOKUP(insurance_policy_data!I215,Sheet2!$E$3:$E$7,Sheet2!$F$3:$F$7,,-1)</f>
        <v>1.31</v>
      </c>
      <c r="D314">
        <f>_xlfn.XLOOKUP(insurance_policy_data!P215,Sheet2!$H$3:$H$5,Sheet2!$I$3:$I$5,,-1)</f>
        <v>1.45</v>
      </c>
      <c r="E314">
        <f>_xlfn.XLOOKUP(insurance_policy_data!M215,Sheet2!$K$3:$K$7,Sheet2!$L$3:$L$7,,-1)</f>
        <v>1.39</v>
      </c>
      <c r="F314">
        <f>_xlfn.XLOOKUP(insurance_policy_data!H215,Sheet2!$N$3:$N$9,Sheet2!$O$3:$O$9,,-1)</f>
        <v>1.25</v>
      </c>
      <c r="G314">
        <f>_xlfn.XLOOKUP(insurance_policy_data!L215,Sheet2!$Q$3:$Q$4,Sheet2!$R$3:$R$4)</f>
        <v>1.5</v>
      </c>
      <c r="H314">
        <f>_xlfn.XLOOKUP(insurance_policy_data!N215,Sheet2!$T$3:$T$5,Sheet2!$U$3:$U$5,,-1)</f>
        <v>1.2</v>
      </c>
      <c r="I314">
        <f t="shared" si="4"/>
        <v>636.84156599999983</v>
      </c>
    </row>
    <row r="315" spans="2:9" x14ac:dyDescent="0.3">
      <c r="B315">
        <f>_xlfn.XLOOKUP(insurance_policy_data!B196,Sheet2!$B$3:$B$8,Sheet2!$C$3:$C$8,,-1)</f>
        <v>1.35</v>
      </c>
      <c r="C315">
        <f>_xlfn.XLOOKUP(insurance_policy_data!I196,Sheet2!$E$3:$E$7,Sheet2!$F$3:$F$7,,-1)</f>
        <v>1.31</v>
      </c>
      <c r="D315">
        <f>_xlfn.XLOOKUP(insurance_policy_data!P196,Sheet2!$H$3:$H$5,Sheet2!$I$3:$I$5,,-1)</f>
        <v>1.45</v>
      </c>
      <c r="E315">
        <f>_xlfn.XLOOKUP(insurance_policy_data!M196,Sheet2!$K$3:$K$7,Sheet2!$L$3:$L$7,,-1)</f>
        <v>1.3</v>
      </c>
      <c r="F315">
        <f>_xlfn.XLOOKUP(insurance_policy_data!H196,Sheet2!$N$3:$N$9,Sheet2!$O$3:$O$9,,-1)</f>
        <v>1.33</v>
      </c>
      <c r="G315">
        <f>_xlfn.XLOOKUP(insurance_policy_data!L196,Sheet2!$Q$3:$Q$4,Sheet2!$R$3:$R$4)</f>
        <v>1.5</v>
      </c>
      <c r="H315">
        <f>_xlfn.XLOOKUP(insurance_policy_data!N196,Sheet2!$T$3:$T$5,Sheet2!$U$3:$U$5,,-1)</f>
        <v>1.2</v>
      </c>
      <c r="I315">
        <f t="shared" si="4"/>
        <v>638.45538120000015</v>
      </c>
    </row>
    <row r="316" spans="2:9" x14ac:dyDescent="0.3">
      <c r="B316">
        <f>_xlfn.XLOOKUP(insurance_policy_data!B308,Sheet2!$B$3:$B$8,Sheet2!$C$3:$C$8,,-1)</f>
        <v>1.35</v>
      </c>
      <c r="C316">
        <f>_xlfn.XLOOKUP(insurance_policy_data!I308,Sheet2!$E$3:$E$7,Sheet2!$F$3:$F$7,,-1)</f>
        <v>1.31</v>
      </c>
      <c r="D316">
        <f>_xlfn.XLOOKUP(insurance_policy_data!P308,Sheet2!$H$3:$H$5,Sheet2!$I$3:$I$5,,-1)</f>
        <v>1.45</v>
      </c>
      <c r="E316">
        <f>_xlfn.XLOOKUP(insurance_policy_data!M308,Sheet2!$K$3:$K$7,Sheet2!$L$3:$L$7,,-1)</f>
        <v>1.4</v>
      </c>
      <c r="F316">
        <f>_xlfn.XLOOKUP(insurance_policy_data!H308,Sheet2!$N$3:$N$9,Sheet2!$O$3:$O$9,,-1)</f>
        <v>1.25</v>
      </c>
      <c r="G316">
        <f>_xlfn.XLOOKUP(insurance_policy_data!L308,Sheet2!$Q$3:$Q$4,Sheet2!$R$3:$R$4)</f>
        <v>1.5</v>
      </c>
      <c r="H316">
        <f>_xlfn.XLOOKUP(insurance_policy_data!N308,Sheet2!$T$3:$T$5,Sheet2!$U$3:$U$5,,-1)</f>
        <v>1.2</v>
      </c>
      <c r="I316">
        <f t="shared" si="4"/>
        <v>646.20989999999995</v>
      </c>
    </row>
    <row r="317" spans="2:9" x14ac:dyDescent="0.3">
      <c r="B317">
        <f>_xlfn.XLOOKUP(insurance_policy_data!B76,Sheet2!$B$3:$B$8,Sheet2!$C$3:$C$8,,-1)</f>
        <v>1.35</v>
      </c>
      <c r="C317">
        <f>_xlfn.XLOOKUP(insurance_policy_data!I76,Sheet2!$E$3:$E$7,Sheet2!$F$3:$F$7,,-1)</f>
        <v>1.31</v>
      </c>
      <c r="D317">
        <f>_xlfn.XLOOKUP(insurance_policy_data!P76,Sheet2!$H$3:$H$5,Sheet2!$I$3:$I$5,,-1)</f>
        <v>1.45</v>
      </c>
      <c r="E317">
        <f>_xlfn.XLOOKUP(insurance_policy_data!M76,Sheet2!$K$3:$K$7,Sheet2!$L$3:$L$7,,-1)</f>
        <v>1.4</v>
      </c>
      <c r="F317">
        <f>_xlfn.XLOOKUP(insurance_policy_data!H76,Sheet2!$N$3:$N$9,Sheet2!$O$3:$O$9,,-1)</f>
        <v>1.29</v>
      </c>
      <c r="G317">
        <f>_xlfn.XLOOKUP(insurance_policy_data!L76,Sheet2!$Q$3:$Q$4,Sheet2!$R$3:$R$4)</f>
        <v>1.5</v>
      </c>
      <c r="H317">
        <f>_xlfn.XLOOKUP(insurance_policy_data!N76,Sheet2!$T$3:$T$5,Sheet2!$U$3:$U$5,,-1)</f>
        <v>1.2</v>
      </c>
      <c r="I317">
        <f t="shared" si="4"/>
        <v>666.88861680000002</v>
      </c>
    </row>
    <row r="318" spans="2:9" x14ac:dyDescent="0.3">
      <c r="B318">
        <f>_xlfn.XLOOKUP(insurance_policy_data!B74,Sheet2!$B$3:$B$8,Sheet2!$C$3:$C$8,,-1)</f>
        <v>1.35</v>
      </c>
      <c r="C318">
        <f>_xlfn.XLOOKUP(insurance_policy_data!I74,Sheet2!$E$3:$E$7,Sheet2!$F$3:$F$7,,-1)</f>
        <v>1.31</v>
      </c>
      <c r="D318">
        <f>_xlfn.XLOOKUP(insurance_policy_data!P74,Sheet2!$H$3:$H$5,Sheet2!$I$3:$I$5,,-1)</f>
        <v>1.45</v>
      </c>
      <c r="E318">
        <f>_xlfn.XLOOKUP(insurance_policy_data!M74,Sheet2!$K$3:$K$7,Sheet2!$L$3:$L$7,,-1)</f>
        <v>1.39</v>
      </c>
      <c r="F318">
        <f>_xlfn.XLOOKUP(insurance_policy_data!H74,Sheet2!$N$3:$N$9,Sheet2!$O$3:$O$9,,-1)</f>
        <v>1.33</v>
      </c>
      <c r="G318">
        <f>_xlfn.XLOOKUP(insurance_policy_data!L74,Sheet2!$Q$3:$Q$4,Sheet2!$R$3:$R$4)</f>
        <v>1.5</v>
      </c>
      <c r="H318">
        <f>_xlfn.XLOOKUP(insurance_policy_data!N74,Sheet2!$T$3:$T$5,Sheet2!$U$3:$U$5,,-1)</f>
        <v>1.2</v>
      </c>
      <c r="I318">
        <f t="shared" si="4"/>
        <v>682.65613836</v>
      </c>
    </row>
    <row r="319" spans="2:9" x14ac:dyDescent="0.3">
      <c r="B319">
        <f>_xlfn.XLOOKUP(insurance_policy_data!B123,Sheet2!$B$3:$B$8,Sheet2!$C$3:$C$8,,-1)</f>
        <v>1.35</v>
      </c>
      <c r="C319">
        <f>_xlfn.XLOOKUP(insurance_policy_data!I123,Sheet2!$E$3:$E$7,Sheet2!$F$3:$F$7,,-1)</f>
        <v>1.31</v>
      </c>
      <c r="D319">
        <f>_xlfn.XLOOKUP(insurance_policy_data!P123,Sheet2!$H$3:$H$5,Sheet2!$I$3:$I$5,,-1)</f>
        <v>1.45</v>
      </c>
      <c r="E319">
        <f>_xlfn.XLOOKUP(insurance_policy_data!M123,Sheet2!$K$3:$K$7,Sheet2!$L$3:$L$7,,-1)</f>
        <v>1.39</v>
      </c>
      <c r="F319">
        <f>_xlfn.XLOOKUP(insurance_policy_data!H123,Sheet2!$N$3:$N$9,Sheet2!$O$3:$O$9,,-1)</f>
        <v>1.33</v>
      </c>
      <c r="G319">
        <f>_xlfn.XLOOKUP(insurance_policy_data!L123,Sheet2!$Q$3:$Q$4,Sheet2!$R$3:$R$4)</f>
        <v>1.5</v>
      </c>
      <c r="H319">
        <f>_xlfn.XLOOKUP(insurance_policy_data!N123,Sheet2!$T$3:$T$5,Sheet2!$U$3:$U$5,,-1)</f>
        <v>1.2</v>
      </c>
      <c r="I319">
        <f t="shared" si="4"/>
        <v>682.65613836</v>
      </c>
    </row>
    <row r="320" spans="2:9" x14ac:dyDescent="0.3">
      <c r="B320">
        <f>_xlfn.XLOOKUP(insurance_policy_data!B119,Sheet2!$B$3:$B$8,Sheet2!$C$3:$C$8,,-1)</f>
        <v>1.35</v>
      </c>
      <c r="C320">
        <f>_xlfn.XLOOKUP(insurance_policy_data!I119,Sheet2!$E$3:$E$7,Sheet2!$F$3:$F$7,,-1)</f>
        <v>1.31</v>
      </c>
      <c r="D320">
        <f>_xlfn.XLOOKUP(insurance_policy_data!P119,Sheet2!$H$3:$H$5,Sheet2!$I$3:$I$5,,-1)</f>
        <v>1.45</v>
      </c>
      <c r="E320">
        <f>_xlfn.XLOOKUP(insurance_policy_data!M119,Sheet2!$K$3:$K$7,Sheet2!$L$3:$L$7,,-1)</f>
        <v>1.39</v>
      </c>
      <c r="F320">
        <f>_xlfn.XLOOKUP(insurance_policy_data!H119,Sheet2!$N$3:$N$9,Sheet2!$O$3:$O$9,,-1)</f>
        <v>1.36</v>
      </c>
      <c r="G320">
        <f>_xlfn.XLOOKUP(insurance_policy_data!L119,Sheet2!$Q$3:$Q$4,Sheet2!$R$3:$R$4)</f>
        <v>1.5</v>
      </c>
      <c r="H320">
        <f>_xlfn.XLOOKUP(insurance_policy_data!N119,Sheet2!$T$3:$T$5,Sheet2!$U$3:$U$5,,-1)</f>
        <v>1.2</v>
      </c>
      <c r="I320">
        <f t="shared" si="4"/>
        <v>698.05439712000009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7A06-1257-41B9-A16B-7303E6C578E8}">
  <dimension ref="B2:U9"/>
  <sheetViews>
    <sheetView workbookViewId="0">
      <selection activeCell="C12" sqref="C12"/>
    </sheetView>
  </sheetViews>
  <sheetFormatPr defaultRowHeight="14.4" x14ac:dyDescent="0.3"/>
  <sheetData>
    <row r="2" spans="2:21" x14ac:dyDescent="0.3">
      <c r="B2" t="s">
        <v>449</v>
      </c>
      <c r="C2" t="s">
        <v>459</v>
      </c>
      <c r="E2" t="s">
        <v>428</v>
      </c>
      <c r="F2" t="s">
        <v>460</v>
      </c>
      <c r="H2" t="s">
        <v>461</v>
      </c>
      <c r="I2" t="s">
        <v>462</v>
      </c>
      <c r="K2" t="s">
        <v>463</v>
      </c>
      <c r="L2" t="s">
        <v>462</v>
      </c>
      <c r="N2" t="s">
        <v>464</v>
      </c>
      <c r="O2" t="s">
        <v>465</v>
      </c>
      <c r="Q2" t="s">
        <v>11</v>
      </c>
      <c r="R2" t="s">
        <v>465</v>
      </c>
      <c r="T2" t="s">
        <v>466</v>
      </c>
      <c r="U2" t="s">
        <v>465</v>
      </c>
    </row>
    <row r="3" spans="2:21" x14ac:dyDescent="0.3">
      <c r="B3">
        <v>18</v>
      </c>
      <c r="C3">
        <v>1.35</v>
      </c>
      <c r="E3">
        <v>0</v>
      </c>
      <c r="F3">
        <v>1.31</v>
      </c>
      <c r="H3">
        <v>0</v>
      </c>
      <c r="I3">
        <v>1</v>
      </c>
      <c r="K3">
        <v>300</v>
      </c>
      <c r="L3">
        <v>1.4</v>
      </c>
      <c r="N3">
        <v>3000</v>
      </c>
      <c r="O3">
        <v>1.1000000000000001</v>
      </c>
      <c r="Q3" t="s">
        <v>35</v>
      </c>
      <c r="R3">
        <v>1.5</v>
      </c>
      <c r="T3" t="s">
        <v>39</v>
      </c>
      <c r="U3">
        <v>1.2</v>
      </c>
    </row>
    <row r="4" spans="2:21" x14ac:dyDescent="0.3">
      <c r="B4">
        <v>30</v>
      </c>
      <c r="C4">
        <v>1.34</v>
      </c>
      <c r="E4">
        <v>15</v>
      </c>
      <c r="F4">
        <v>1.3</v>
      </c>
      <c r="H4">
        <v>1</v>
      </c>
      <c r="I4">
        <v>1.3</v>
      </c>
      <c r="K4">
        <v>450</v>
      </c>
      <c r="L4">
        <v>1.39</v>
      </c>
      <c r="N4">
        <v>8000</v>
      </c>
      <c r="O4">
        <v>1.2</v>
      </c>
      <c r="Q4" t="s">
        <v>29</v>
      </c>
      <c r="R4">
        <v>0.75</v>
      </c>
      <c r="T4" t="s">
        <v>75</v>
      </c>
      <c r="U4">
        <v>1.1000000000000001</v>
      </c>
    </row>
    <row r="5" spans="2:21" x14ac:dyDescent="0.3">
      <c r="B5">
        <v>40</v>
      </c>
      <c r="C5">
        <v>1.25</v>
      </c>
      <c r="E5">
        <v>30</v>
      </c>
      <c r="F5">
        <v>1.25</v>
      </c>
      <c r="H5">
        <v>2</v>
      </c>
      <c r="I5">
        <v>1.45</v>
      </c>
      <c r="K5">
        <v>600</v>
      </c>
      <c r="L5">
        <v>1.3</v>
      </c>
      <c r="N5">
        <v>11000</v>
      </c>
      <c r="O5">
        <v>1.25</v>
      </c>
      <c r="T5" t="s">
        <v>22</v>
      </c>
      <c r="U5">
        <v>1</v>
      </c>
    </row>
    <row r="6" spans="2:21" x14ac:dyDescent="0.3">
      <c r="B6">
        <v>50</v>
      </c>
      <c r="C6">
        <v>1.27</v>
      </c>
      <c r="E6">
        <v>45</v>
      </c>
      <c r="F6">
        <v>1.25</v>
      </c>
      <c r="K6">
        <v>700</v>
      </c>
      <c r="L6">
        <v>1.26</v>
      </c>
      <c r="N6">
        <v>15000</v>
      </c>
      <c r="O6">
        <v>1.29</v>
      </c>
    </row>
    <row r="7" spans="2:21" x14ac:dyDescent="0.3">
      <c r="B7">
        <v>60</v>
      </c>
      <c r="C7">
        <v>1.21</v>
      </c>
      <c r="E7">
        <v>59</v>
      </c>
      <c r="F7">
        <v>1.32</v>
      </c>
      <c r="K7">
        <v>850</v>
      </c>
      <c r="L7">
        <v>1.22</v>
      </c>
      <c r="N7">
        <v>19000</v>
      </c>
      <c r="O7">
        <v>1.33</v>
      </c>
    </row>
    <row r="8" spans="2:21" x14ac:dyDescent="0.3">
      <c r="B8">
        <v>75</v>
      </c>
      <c r="C8">
        <v>1.28</v>
      </c>
      <c r="N8">
        <v>23000</v>
      </c>
      <c r="O8">
        <v>1.36</v>
      </c>
    </row>
    <row r="9" spans="2:21" x14ac:dyDescent="0.3">
      <c r="N9">
        <v>28000</v>
      </c>
      <c r="O9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CFA1-1DF2-4921-A54E-7C0256546029}">
  <dimension ref="A1"/>
  <sheetViews>
    <sheetView topLeftCell="A4" zoomScale="76" zoomScaleNormal="76" workbookViewId="0">
      <selection activeCell="Q23" sqref="Q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6A52-8611-4F51-9BF1-166729176B0E}">
  <dimension ref="A1"/>
  <sheetViews>
    <sheetView zoomScale="78" zoomScaleNormal="78" workbookViewId="0">
      <selection activeCell="P29" sqref="P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13E-BA8B-44D5-B790-99D89754EB4D}">
  <dimension ref="A1:Q14"/>
  <sheetViews>
    <sheetView zoomScale="79" zoomScaleNormal="79" workbookViewId="0">
      <selection activeCell="P7" sqref="P7:Q7"/>
    </sheetView>
  </sheetViews>
  <sheetFormatPr defaultRowHeight="14.4" x14ac:dyDescent="0.3"/>
  <cols>
    <col min="16" max="17" width="11" customWidth="1"/>
  </cols>
  <sheetData>
    <row r="1" spans="1:17" x14ac:dyDescent="0.3">
      <c r="A1" t="s">
        <v>442</v>
      </c>
    </row>
    <row r="5" spans="1:17" x14ac:dyDescent="0.3">
      <c r="P5" t="s">
        <v>449</v>
      </c>
    </row>
    <row r="6" spans="1:17" x14ac:dyDescent="0.3">
      <c r="P6" t="s">
        <v>451</v>
      </c>
      <c r="Q6" t="s">
        <v>452</v>
      </c>
    </row>
    <row r="7" spans="1:17" x14ac:dyDescent="0.3">
      <c r="P7" t="s">
        <v>450</v>
      </c>
      <c r="Q7">
        <f>AVERAGE(Table4[Applicant_Age])</f>
        <v>47.660377358490564</v>
      </c>
    </row>
    <row r="8" spans="1:17" x14ac:dyDescent="0.3">
      <c r="P8" t="s">
        <v>453</v>
      </c>
      <c r="Q8">
        <f>MEDIAN(Table4[Applicant_Age])</f>
        <v>49</v>
      </c>
    </row>
    <row r="9" spans="1:17" x14ac:dyDescent="0.3">
      <c r="P9" t="s">
        <v>448</v>
      </c>
      <c r="Q9">
        <f>STDEV(Table4[Applicant_Age])</f>
        <v>17.224745675322723</v>
      </c>
    </row>
    <row r="11" spans="1:17" x14ac:dyDescent="0.3">
      <c r="P11" t="s">
        <v>445</v>
      </c>
    </row>
    <row r="12" spans="1:17" x14ac:dyDescent="0.3">
      <c r="P12" t="s">
        <v>446</v>
      </c>
      <c r="Q12">
        <f>AVERAGE(insurance_policy_data!M:M)</f>
        <v>562.27044025157238</v>
      </c>
    </row>
    <row r="13" spans="1:17" x14ac:dyDescent="0.3">
      <c r="P13" t="s">
        <v>447</v>
      </c>
      <c r="Q13">
        <f>MEDIAN(Table4[Credit_Score])</f>
        <v>563.5</v>
      </c>
    </row>
    <row r="14" spans="1:17" x14ac:dyDescent="0.3">
      <c r="P14" t="s">
        <v>448</v>
      </c>
      <c r="Q14">
        <f>STDEV(Table4[Credit_Score])</f>
        <v>149.99710556764066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insurance_policy_data</vt:lpstr>
      <vt:lpstr>Data Distribution</vt:lpstr>
      <vt:lpstr>Sheet1</vt:lpstr>
      <vt:lpstr>Sheet2</vt:lpstr>
      <vt:lpstr>Risk</vt:lpstr>
      <vt:lpstr>Vehicle Info</vt:lpstr>
      <vt:lpstr>Applicant 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Ghebrehiwet</dc:creator>
  <cp:lastModifiedBy>Nahum Ghebrehiwet</cp:lastModifiedBy>
  <dcterms:created xsi:type="dcterms:W3CDTF">2026-08-25T04:01:31Z</dcterms:created>
  <dcterms:modified xsi:type="dcterms:W3CDTF">2026-08-31T21:23:20Z</dcterms:modified>
</cp:coreProperties>
</file>